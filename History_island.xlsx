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80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'2025'!$A$2:$V$2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;\(#,##0.00\)"/>
    <numFmt numFmtId="166" formatCode="dd&quot;/&quot;mm"/>
  </numFmts>
  <fonts count="7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00"/>
      <sz val="10"/>
    </font>
    <font>
      <name val="Arial"/>
      <b val="1"/>
      <color rgb="FFC53929"/>
      <sz val="10"/>
    </font>
    <font>
      <name val="Arial"/>
      <b val="1"/>
      <color rgb="FF0B8043"/>
      <sz val="10"/>
    </font>
    <font>
      <name val="Arial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2"/>
  </cellStyleXfs>
  <cellXfs count="67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164" fontId="1" fillId="0" borderId="0" applyAlignment="1" pivotButton="0" quotePrefix="0" xfId="0">
      <alignment horizontal="right"/>
    </xf>
    <xf numFmtId="0" fontId="1" fillId="8" borderId="1" pivotButton="0" quotePrefix="0" xfId="0"/>
    <xf numFmtId="165" fontId="1" fillId="8" borderId="1" applyAlignment="1" pivotButton="0" quotePrefix="0" xfId="0">
      <alignment horizontal="right"/>
    </xf>
    <xf numFmtId="10" fontId="1" fillId="0" borderId="0" pivotButton="0" quotePrefix="0" xfId="0"/>
    <xf numFmtId="10" fontId="1" fillId="8" borderId="1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1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165" fontId="1" fillId="0" borderId="2" applyAlignment="1" pivotButton="0" quotePrefix="0" xfId="0">
      <alignment horizontal="center"/>
    </xf>
    <xf numFmtId="4" fontId="1" fillId="0" borderId="2" applyAlignment="1" pivotButton="0" quotePrefix="0" xfId="0">
      <alignment horizontal="center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0" fontId="6" fillId="0" borderId="2" pivotButton="0" quotePrefix="0" xfId="0"/>
    <xf numFmtId="166" fontId="4" fillId="3" borderId="2" applyAlignment="1" pivotButton="0" quotePrefix="0" xfId="0">
      <alignment horizontal="center"/>
    </xf>
    <xf numFmtId="166" fontId="1" fillId="4" borderId="2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5" fontId="2" fillId="6" borderId="2" applyAlignment="1" pivotButton="0" quotePrefix="0" xfId="0">
      <alignment horizontal="center"/>
    </xf>
    <xf numFmtId="1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3" pivotButton="0" quotePrefix="0" xfId="0"/>
    <xf numFmtId="1" fontId="2" fillId="2" borderId="3" applyAlignment="1" pivotButton="0" quotePrefix="0" xfId="0">
      <alignment horizontal="center"/>
    </xf>
    <xf numFmtId="4" fontId="2" fillId="2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165" fontId="1" fillId="0" borderId="3" applyAlignment="1" pivotButton="0" quotePrefix="0" xfId="0">
      <alignment horizontal="center"/>
    </xf>
    <xf numFmtId="4" fontId="1" fillId="0" borderId="3" applyAlignment="1" pivotButton="0" quotePrefix="0" xfId="0">
      <alignment horizontal="center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165" fontId="2" fillId="0" borderId="3" applyAlignment="1" pivotButton="0" quotePrefix="0" xfId="0">
      <alignment horizontal="center"/>
    </xf>
    <xf numFmtId="4" fontId="2" fillId="0" borderId="3" applyAlignment="1" pivotButton="0" quotePrefix="0" xfId="0">
      <alignment horizontal="center"/>
    </xf>
    <xf numFmtId="0" fontId="6" fillId="0" borderId="3" pivotButton="0" quotePrefix="0" xfId="0"/>
    <xf numFmtId="166" fontId="4" fillId="3" borderId="3" applyAlignment="1" pivotButton="0" quotePrefix="0" xfId="0">
      <alignment horizontal="center"/>
    </xf>
    <xf numFmtId="166" fontId="1" fillId="4" borderId="3" applyAlignment="1" pivotButton="0" quotePrefix="0" xfId="0">
      <alignment horizontal="center"/>
    </xf>
    <xf numFmtId="0" fontId="1" fillId="7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165" fontId="2" fillId="6" borderId="3" applyAlignment="1" pivotButton="0" quotePrefix="0" xfId="0">
      <alignment horizontal="center"/>
    </xf>
    <xf numFmtId="10" fontId="1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165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pivotButton="0" quotePrefix="0" xfId="0"/>
    <xf numFmtId="165" fontId="1" fillId="8" borderId="1" applyAlignment="1" pivotButton="0" quotePrefix="0" xfId="0">
      <alignment horizontal="right"/>
    </xf>
  </cellXfs>
  <cellStyles count="1">
    <cellStyle name="Normal" xfId="0" builtinId="0"/>
  </cellStyles>
  <dxfs count="5">
    <dxf>
      <font>
        <b val="1"/>
      </font>
      <fill>
        <patternFill patternType="solid">
          <fgColor rgb="FFF4C7C3"/>
          <bgColor rgb="FFF4C7C3"/>
        </patternFill>
      </fill>
    </dxf>
    <dxf>
      <font>
        <b val="1"/>
      </font>
      <fill>
        <patternFill patternType="solid">
          <fgColor rgb="FFB7E1CD"/>
          <bgColor rgb="FFB7E1CD"/>
        </patternFill>
      </fill>
    </dxf>
    <dxf>
      <font>
        <b val="1"/>
        <color rgb="FFC53929"/>
      </font>
    </dxf>
    <dxf>
      <font>
        <b val="1"/>
        <color rgb="FF0B8043"/>
      </font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39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6" sqref="F16"/>
    </sheetView>
  </sheetViews>
  <sheetFormatPr baseColWidth="10" defaultColWidth="12.6640625" defaultRowHeight="15" customHeight="1"/>
  <cols>
    <col width="12.6640625" customWidth="1" min="1" max="1"/>
    <col outlineLevel="1" width="12.6640625" customWidth="1" min="2" max="9"/>
    <col width="11.6640625" customWidth="1" min="19" max="19"/>
    <col width="14.6640625" customWidth="1" min="24" max="24"/>
    <col width="15.1640625" customWidth="1" min="26" max="26"/>
    <col width="15.6640625" customWidth="1" min="27" max="27"/>
  </cols>
  <sheetData>
    <row r="1" hidden="1" ht="12.75" customHeight="1">
      <c r="A1" s="37" t="inlineStr">
        <is>
          <t>Unnamed: 0</t>
        </is>
      </c>
      <c r="B1" s="38" t="inlineStr">
        <is>
          <t>Unnamed: 1</t>
        </is>
      </c>
      <c r="C1" s="39" t="inlineStr">
        <is>
          <t>Unnamed: 2</t>
        </is>
      </c>
      <c r="D1" s="39" t="inlineStr">
        <is>
          <t>Unnamed: 3</t>
        </is>
      </c>
      <c r="E1" s="39" t="inlineStr">
        <is>
          <t>Unnamed: 4</t>
        </is>
      </c>
      <c r="F1" s="40" t="inlineStr">
        <is>
          <t>Unnamed: 5</t>
        </is>
      </c>
      <c r="G1" s="40" t="inlineStr">
        <is>
          <t>Unnamed: 6</t>
        </is>
      </c>
      <c r="H1" s="40" t="inlineStr">
        <is>
          <t>Unnamed: 7</t>
        </is>
      </c>
      <c r="I1" s="41" t="n"/>
      <c r="J1" s="42" t="n"/>
      <c r="K1" s="42" t="n"/>
      <c r="L1" s="43" t="n"/>
      <c r="M1" s="43" t="n"/>
      <c r="N1" s="44" t="n"/>
      <c r="O1" s="41" t="n"/>
      <c r="P1" s="41" t="n"/>
      <c r="Q1" s="45" t="n"/>
      <c r="R1" s="41" t="n"/>
      <c r="S1" s="41" t="n"/>
      <c r="T1" s="41" t="n"/>
      <c r="U1" s="41" t="n"/>
      <c r="V1" s="46" t="n">
        <v>1000</v>
      </c>
      <c r="W1" s="37" t="n"/>
      <c r="X1" s="37" t="n"/>
      <c r="Y1" s="37" t="n"/>
      <c r="Z1" s="37" t="n"/>
      <c r="AA1" s="37" t="n"/>
      <c r="AB1" s="47" t="n"/>
    </row>
    <row r="2" ht="12.75" customHeight="1">
      <c r="A2" s="37" t="n"/>
      <c r="B2" s="38" t="inlineStr">
        <is>
          <t>No. of Trades in 4 years</t>
        </is>
      </c>
      <c r="C2" s="39" t="inlineStr">
        <is>
          <t>Profit</t>
        </is>
      </c>
      <c r="D2" s="39" t="inlineStr">
        <is>
          <t>Profit %</t>
        </is>
      </c>
      <c r="E2" s="39" t="inlineStr">
        <is>
          <t>Profit Factor</t>
        </is>
      </c>
      <c r="F2" s="48" t="inlineStr">
        <is>
          <t>BUY</t>
        </is>
      </c>
      <c r="G2" s="40" t="inlineStr">
        <is>
          <t>SELL</t>
        </is>
      </c>
      <c r="H2" s="40" t="inlineStr">
        <is>
          <t>CLOSE BUY</t>
        </is>
      </c>
      <c r="I2" s="40" t="inlineStr">
        <is>
          <t>CLOSE SELL</t>
        </is>
      </c>
      <c r="J2" s="49" t="inlineStr">
        <is>
          <t>Open</t>
        </is>
      </c>
      <c r="K2" s="49" t="inlineStr">
        <is>
          <t>Price</t>
        </is>
      </c>
      <c r="L2" s="50" t="inlineStr">
        <is>
          <t>Close</t>
        </is>
      </c>
      <c r="M2" s="50" t="inlineStr">
        <is>
          <t>Price</t>
        </is>
      </c>
      <c r="N2" s="51" t="inlineStr">
        <is>
          <t>Current</t>
        </is>
      </c>
      <c r="O2" s="40" t="inlineStr">
        <is>
          <t>Status</t>
        </is>
      </c>
      <c r="P2" s="40" t="inlineStr">
        <is>
          <t>Result</t>
        </is>
      </c>
      <c r="Q2" s="52" t="inlineStr">
        <is>
          <t>Profit</t>
        </is>
      </c>
      <c r="R2" s="40" t="inlineStr">
        <is>
          <t>Net Profit</t>
        </is>
      </c>
      <c r="S2" s="40" t="inlineStr">
        <is>
          <t>Profit %</t>
        </is>
      </c>
      <c r="T2" s="40" t="inlineStr">
        <is>
          <t>Profit Trades</t>
        </is>
      </c>
      <c r="U2" s="40" t="inlineStr">
        <is>
          <t>Change</t>
        </is>
      </c>
      <c r="V2" s="53" t="inlineStr">
        <is>
          <t>Shares</t>
        </is>
      </c>
      <c r="W2" s="37" t="n"/>
      <c r="X2" s="37" t="n"/>
      <c r="Y2" s="37" t="n"/>
      <c r="Z2" s="37" t="n"/>
      <c r="AA2" s="37" t="n"/>
      <c r="AB2" s="47" t="n"/>
    </row>
    <row r="3" ht="15.75" customHeight="1">
      <c r="A3" s="54" t="inlineStr">
        <is>
          <t>NULL</t>
        </is>
      </c>
      <c r="B3" s="48" t="n"/>
      <c r="C3" s="48" t="n"/>
      <c r="D3" s="48" t="n"/>
      <c r="E3" s="48" t="n"/>
      <c r="F3" s="48" t="n"/>
      <c r="G3" s="48" t="inlineStr">
        <is>
          <t>2024/09/25</t>
        </is>
      </c>
      <c r="H3" s="48" t="n"/>
      <c r="I3" s="48" t="n"/>
      <c r="J3" s="55">
        <f>IF(ISBLANK(F3:G3),,IF(COUNTA(F3)=0,G3,F3))</f>
        <v/>
      </c>
      <c r="K3" s="42">
        <f>IFERROR(__xludf.DUMMYFUNCTION("if(isblank(J609),,index(googlefinance(A609,K$2,J609-1),2,2))"),174.79)</f>
        <v/>
      </c>
      <c r="L3" s="56">
        <f>IF(ISBLANK(H3:I3),,IF(COUNTA(H3)=0,I3,H3))</f>
        <v/>
      </c>
      <c r="M3" s="43">
        <f>IFERROR(__xludf.DUMMYFUNCTION("if(isblank(L609),, index(googlefinance(A609,M$2,L609-1),2,2))"),"")</f>
        <v/>
      </c>
      <c r="N3" s="44">
        <f>IFERROR(__xludf.DUMMYFUNCTION("if(isblank(A609),,googlefinance(A609))"),175.42)</f>
        <v/>
      </c>
      <c r="O3" s="57">
        <f>IF(ISBLANK(J3),,IF(ISBLANK(L3),"Ongoing","Completed"))</f>
        <v/>
      </c>
      <c r="P3" s="58">
        <f>IF(ISBLANK(A3),,IF(AND(COUNTA(F3)=1,U3&gt;0),"Profit",IF(AND(COUNTA(G3)=1,U3&lt;0),"Profit","Loss")))</f>
        <v/>
      </c>
      <c r="Q3" s="59">
        <f>IF(ISBLANK(V3),,IF(P3="Profit",IF(U3&lt;0,V3*-U3,V3*U3),IF(U3&gt;0,V3*-U3,V3*U3)))</f>
        <v/>
      </c>
      <c r="R3" s="41">
        <f>SUMIF($Q$3:Q3,"&gt;-999")</f>
        <v/>
      </c>
      <c r="S3" s="60">
        <f>(R3)/15000</f>
        <v/>
      </c>
      <c r="T3" s="41">
        <f>IF($Q3&gt;0, TRUE, FALSE)</f>
        <v/>
      </c>
      <c r="U3" s="41">
        <f>IF(ISBLANK(J3),,IF(ISBLANK(L3),N3-K3,M3-K3))</f>
        <v/>
      </c>
      <c r="V3" s="46">
        <f>IF(ISBLANK(J3),,ROUNDDOWN(V$1/K3,0))</f>
        <v/>
      </c>
      <c r="W3" s="47" t="n"/>
      <c r="X3" s="47" t="n"/>
      <c r="Y3" s="47" t="n"/>
      <c r="Z3" s="47" t="n"/>
      <c r="AA3" s="47" t="n"/>
      <c r="AB3" s="47" t="n"/>
    </row>
    <row r="4" ht="15.75" customHeight="1">
      <c r="A4" s="54" t="inlineStr">
        <is>
          <t>JBHT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48" t="n"/>
      <c r="T4" s="61" t="n"/>
      <c r="U4" s="62" t="n"/>
      <c r="V4" s="62" t="n"/>
      <c r="W4" s="62" t="n"/>
      <c r="X4" s="47" t="n"/>
      <c r="Y4" s="62" t="n"/>
      <c r="Z4" s="47" t="n"/>
      <c r="AA4" s="47" t="n"/>
      <c r="AB4" s="62" t="n"/>
    </row>
    <row r="5" ht="15.75" customHeight="1">
      <c r="A5" s="47" t="n"/>
      <c r="B5" s="48" t="n"/>
      <c r="C5" s="48" t="n"/>
      <c r="D5" s="48" t="n"/>
      <c r="E5" s="48" t="n"/>
      <c r="F5" s="48" t="n"/>
      <c r="G5" s="48" t="n"/>
      <c r="H5" s="48" t="n"/>
      <c r="I5" s="48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48" t="n"/>
      <c r="T5" s="61" t="n"/>
      <c r="U5" s="62" t="n"/>
      <c r="V5" s="62" t="n"/>
      <c r="W5" s="62" t="n"/>
      <c r="X5" s="47" t="n"/>
      <c r="Y5" s="62" t="n"/>
      <c r="Z5" s="47" t="n"/>
      <c r="AA5" s="47" t="n"/>
      <c r="AB5" s="62" t="n"/>
    </row>
    <row r="6" ht="15.75" customHeight="1">
      <c r="A6" s="47" t="n"/>
      <c r="B6" s="48" t="n"/>
      <c r="C6" s="48" t="n"/>
      <c r="D6" s="48" t="n"/>
      <c r="E6" s="48" t="n"/>
      <c r="F6" s="48" t="n"/>
      <c r="G6" s="48" t="n"/>
      <c r="H6" s="48" t="n"/>
      <c r="I6" s="48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48" t="n"/>
      <c r="T6" s="61" t="n"/>
      <c r="U6" s="62" t="n"/>
      <c r="V6" s="62" t="n"/>
      <c r="W6" s="62" t="n"/>
      <c r="X6" s="47" t="n"/>
      <c r="Y6" s="62" t="n"/>
      <c r="Z6" s="47" t="n"/>
      <c r="AA6" s="47" t="n"/>
      <c r="AB6" s="62" t="n"/>
    </row>
    <row r="7" ht="15.75" customHeight="1">
      <c r="A7" s="47" t="n"/>
      <c r="B7" s="48" t="n"/>
      <c r="C7" s="48" t="n"/>
      <c r="D7" s="48" t="n"/>
      <c r="E7" s="48" t="n"/>
      <c r="F7" s="48" t="n"/>
      <c r="G7" s="48" t="n"/>
      <c r="H7" s="48" t="n"/>
      <c r="I7" s="48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48" t="n"/>
      <c r="T7" s="61" t="n"/>
      <c r="U7" s="62" t="n"/>
      <c r="V7" s="62" t="n"/>
      <c r="W7" s="62" t="n"/>
      <c r="X7" s="47" t="n"/>
      <c r="Y7" s="62" t="n"/>
      <c r="Z7" s="47" t="n"/>
      <c r="AA7" s="47" t="n"/>
      <c r="AB7" s="62" t="n"/>
    </row>
    <row r="8" ht="15.75" customHeight="1">
      <c r="A8" s="47" t="n"/>
      <c r="B8" s="48" t="n"/>
      <c r="C8" s="48" t="n"/>
      <c r="D8" s="48" t="n"/>
      <c r="E8" s="48" t="n"/>
      <c r="F8" s="48" t="n"/>
      <c r="G8" s="48" t="n"/>
      <c r="H8" s="48" t="n"/>
      <c r="I8" s="48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48" t="n"/>
      <c r="T8" s="61" t="n"/>
      <c r="U8" s="62" t="n"/>
      <c r="V8" s="62" t="n"/>
      <c r="W8" s="62" t="n"/>
      <c r="X8" s="47" t="n"/>
      <c r="Y8" s="62" t="n"/>
      <c r="Z8" s="47" t="n"/>
      <c r="AA8" s="47" t="n"/>
      <c r="AB8" s="62" t="n"/>
    </row>
    <row r="9" ht="15.75" customHeight="1">
      <c r="A9" s="47" t="n"/>
      <c r="B9" s="48" t="n"/>
      <c r="C9" s="48" t="n"/>
      <c r="D9" s="48" t="n"/>
      <c r="E9" s="48" t="n"/>
      <c r="F9" s="48" t="n"/>
      <c r="G9" s="48" t="n"/>
      <c r="H9" s="48" t="n"/>
      <c r="I9" s="48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48" t="n"/>
      <c r="T9" s="61" t="n"/>
      <c r="U9" s="62" t="n"/>
      <c r="V9" s="62" t="n"/>
      <c r="W9" s="62" t="n"/>
      <c r="X9" s="47" t="n"/>
      <c r="Y9" s="62" t="n"/>
      <c r="Z9" s="47" t="n"/>
      <c r="AA9" s="47" t="n"/>
      <c r="AB9" s="62" t="n"/>
    </row>
    <row r="10" ht="15.75" customHeight="1">
      <c r="A10" s="47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48" t="n"/>
      <c r="T10" s="61" t="n"/>
      <c r="U10" s="62" t="n"/>
      <c r="V10" s="62" t="n"/>
      <c r="W10" s="62" t="n"/>
      <c r="X10" s="47" t="n"/>
      <c r="Y10" s="62" t="n"/>
      <c r="Z10" s="47" t="n"/>
      <c r="AA10" s="47" t="n"/>
      <c r="AB10" s="62" t="n"/>
    </row>
    <row r="11" ht="15.75" customHeight="1">
      <c r="A11" s="47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48" t="n"/>
      <c r="T11" s="61" t="n"/>
      <c r="U11" s="62" t="n"/>
      <c r="V11" s="62" t="n"/>
      <c r="W11" s="62" t="n"/>
      <c r="X11" s="47" t="n"/>
      <c r="Y11" s="62" t="n"/>
      <c r="Z11" s="47" t="n"/>
      <c r="AA11" s="47" t="n"/>
      <c r="AB11" s="62" t="n"/>
    </row>
    <row r="12" ht="15.75" customHeight="1">
      <c r="A12" s="47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48" t="n"/>
      <c r="T12" s="61" t="n"/>
      <c r="U12" s="62" t="n"/>
      <c r="V12" s="62" t="n"/>
      <c r="W12" s="62" t="n"/>
      <c r="X12" s="47" t="n"/>
      <c r="Y12" s="62" t="n"/>
      <c r="Z12" s="47" t="n"/>
      <c r="AA12" s="47" t="n"/>
      <c r="AB12" s="62" t="n"/>
    </row>
    <row r="13" ht="15.75" customHeight="1">
      <c r="A13" s="47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48" t="n"/>
      <c r="T13" s="61" t="n"/>
      <c r="U13" s="62" t="n"/>
      <c r="V13" s="62" t="n"/>
      <c r="W13" s="62" t="n"/>
      <c r="X13" s="47" t="n"/>
      <c r="Y13" s="62" t="n"/>
      <c r="Z13" s="47" t="n"/>
      <c r="AA13" s="47" t="n"/>
      <c r="AB13" s="62" t="n"/>
    </row>
    <row r="14" ht="15.75" customHeight="1">
      <c r="A14" s="47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48" t="n"/>
      <c r="T14" s="61" t="n"/>
      <c r="U14" s="62" t="n"/>
      <c r="V14" s="62" t="n"/>
      <c r="W14" s="62" t="n"/>
      <c r="X14" s="47" t="n"/>
      <c r="Y14" s="62" t="n"/>
      <c r="Z14" s="47" t="n"/>
      <c r="AA14" s="47" t="n"/>
      <c r="AB14" s="62" t="n"/>
    </row>
    <row r="15" ht="15.75" customHeight="1">
      <c r="A15" s="47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48" t="n"/>
      <c r="T15" s="61" t="n"/>
      <c r="U15" s="62" t="n"/>
      <c r="V15" s="62" t="n"/>
      <c r="W15" s="62" t="n"/>
      <c r="X15" s="47" t="n"/>
      <c r="Y15" s="62" t="n"/>
      <c r="Z15" s="47" t="n"/>
      <c r="AA15" s="47" t="n"/>
      <c r="AB15" s="62" t="n"/>
    </row>
    <row r="16" ht="15.75" customHeight="1">
      <c r="A16" s="47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48" t="n"/>
      <c r="T16" s="61" t="n"/>
      <c r="U16" s="62" t="n"/>
      <c r="V16" s="62" t="n"/>
      <c r="W16" s="62" t="n"/>
      <c r="X16" s="47" t="n"/>
      <c r="Y16" s="62" t="n"/>
      <c r="Z16" s="47" t="n"/>
      <c r="AA16" s="47" t="n"/>
      <c r="AB16" s="62" t="n"/>
    </row>
    <row r="17" ht="15.75" customHeight="1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48" t="n"/>
      <c r="T17" s="61" t="n"/>
      <c r="U17" s="62" t="n"/>
      <c r="V17" s="62" t="n"/>
      <c r="W17" s="62" t="n"/>
      <c r="X17" s="47" t="n"/>
      <c r="Y17" s="62" t="n"/>
      <c r="Z17" s="47" t="n"/>
      <c r="AA17" s="47" t="n"/>
      <c r="AB17" s="62" t="n"/>
    </row>
    <row r="18" ht="15.75" customHeight="1">
      <c r="A18" s="47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48" t="n"/>
      <c r="T18" s="61" t="n"/>
      <c r="U18" s="62" t="n"/>
      <c r="V18" s="62" t="n"/>
      <c r="W18" s="62" t="n"/>
      <c r="X18" s="47" t="n"/>
      <c r="Y18" s="62" t="n"/>
      <c r="Z18" s="47" t="n"/>
      <c r="AA18" s="47" t="n"/>
      <c r="AB18" s="62" t="n"/>
    </row>
    <row r="19" ht="15.75" customHeight="1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48" t="n"/>
      <c r="T19" s="61" t="n"/>
      <c r="U19" s="62" t="n"/>
      <c r="V19" s="62" t="n"/>
      <c r="W19" s="62" t="n"/>
      <c r="X19" s="47" t="n"/>
      <c r="Y19" s="62" t="n"/>
      <c r="Z19" s="47" t="n"/>
      <c r="AA19" s="47" t="n"/>
      <c r="AB19" s="62" t="n"/>
    </row>
    <row r="20" ht="15.75" customHeight="1">
      <c r="A20" s="47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48" t="n"/>
      <c r="T20" s="61" t="n"/>
      <c r="U20" s="62" t="n"/>
      <c r="V20" s="62" t="n"/>
      <c r="W20" s="62" t="n"/>
      <c r="X20" s="47" t="n"/>
      <c r="Y20" s="62" t="n"/>
      <c r="Z20" s="47" t="n"/>
      <c r="AA20" s="47" t="n"/>
      <c r="AB20" s="62" t="n"/>
    </row>
    <row r="21" ht="15.75" customHeight="1">
      <c r="A21" s="47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48" t="n"/>
      <c r="T21" s="61" t="n"/>
      <c r="U21" s="62" t="n"/>
      <c r="V21" s="62" t="n"/>
      <c r="W21" s="62" t="n"/>
      <c r="X21" s="47" t="n"/>
      <c r="Y21" s="62" t="n"/>
      <c r="Z21" s="47" t="n"/>
      <c r="AA21" s="47" t="n"/>
      <c r="AB21" s="62" t="n"/>
    </row>
    <row r="22" ht="15.75" customHeight="1">
      <c r="A22" s="47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48" t="n"/>
      <c r="T22" s="61" t="n"/>
      <c r="U22" s="62" t="n"/>
      <c r="V22" s="62" t="n"/>
      <c r="W22" s="62" t="n"/>
      <c r="X22" s="47" t="n"/>
      <c r="Y22" s="62" t="n"/>
      <c r="Z22" s="47" t="n"/>
      <c r="AA22" s="47" t="n"/>
      <c r="AB22" s="62" t="n"/>
    </row>
    <row r="23" ht="15.75" customHeight="1">
      <c r="A23" s="47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48" t="n"/>
      <c r="T23" s="61" t="n"/>
      <c r="U23" s="62" t="n"/>
      <c r="V23" s="62" t="n"/>
      <c r="W23" s="62" t="n"/>
      <c r="X23" s="47" t="n"/>
      <c r="Y23" s="62" t="n"/>
      <c r="Z23" s="47" t="n"/>
      <c r="AA23" s="47" t="n"/>
      <c r="AB23" s="62" t="n"/>
    </row>
    <row r="24" ht="15.75" customHeight="1">
      <c r="A24" s="47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48" t="n"/>
      <c r="T24" s="61" t="n"/>
      <c r="U24" s="62" t="n"/>
      <c r="V24" s="62" t="n"/>
      <c r="W24" s="62" t="n"/>
      <c r="X24" s="47" t="n"/>
      <c r="Y24" s="62" t="n"/>
      <c r="Z24" s="47" t="n"/>
      <c r="AA24" s="47" t="n"/>
      <c r="AB24" s="62" t="n"/>
    </row>
    <row r="25" ht="15.75" customHeight="1">
      <c r="A25" s="47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48" t="n"/>
      <c r="T25" s="61" t="n"/>
      <c r="U25" s="62" t="n"/>
      <c r="V25" s="62" t="n"/>
      <c r="W25" s="62" t="n"/>
      <c r="X25" s="47" t="n"/>
      <c r="Y25" s="62" t="n"/>
      <c r="Z25" s="47" t="n"/>
      <c r="AA25" s="47" t="n"/>
      <c r="AB25" s="62" t="n"/>
    </row>
    <row r="26" ht="15.75" customHeight="1">
      <c r="A26" s="47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48" t="n"/>
      <c r="T26" s="61" t="n"/>
      <c r="U26" s="62" t="n"/>
      <c r="V26" s="62" t="n"/>
      <c r="W26" s="62" t="n"/>
      <c r="X26" s="47" t="n"/>
      <c r="Y26" s="62" t="n"/>
      <c r="Z26" s="47" t="n"/>
      <c r="AA26" s="47" t="n"/>
      <c r="AB26" s="62" t="n"/>
    </row>
    <row r="27" ht="15.75" customHeight="1">
      <c r="A27" s="47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48" t="n"/>
      <c r="T27" s="61" t="n"/>
      <c r="U27" s="62" t="n"/>
      <c r="V27" s="62" t="n"/>
      <c r="W27" s="62" t="n"/>
      <c r="X27" s="47" t="n"/>
      <c r="Y27" s="62" t="n"/>
      <c r="Z27" s="47" t="n"/>
      <c r="AA27" s="47" t="n"/>
      <c r="AB27" s="62" t="n"/>
    </row>
    <row r="28" ht="15.75" customHeight="1">
      <c r="A28" s="47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48" t="n"/>
      <c r="T28" s="61" t="n"/>
      <c r="U28" s="62" t="n"/>
      <c r="V28" s="62" t="n"/>
      <c r="W28" s="62" t="n"/>
      <c r="X28" s="47" t="n"/>
      <c r="Y28" s="62" t="n"/>
      <c r="Z28" s="47" t="n"/>
      <c r="AA28" s="47" t="n"/>
      <c r="AB28" s="62" t="n"/>
    </row>
    <row r="29" ht="15.75" customHeight="1">
      <c r="A29" s="47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48" t="n"/>
      <c r="T29" s="61" t="n"/>
      <c r="U29" s="62" t="n"/>
      <c r="V29" s="62" t="n"/>
      <c r="W29" s="62" t="n"/>
      <c r="X29" s="47" t="n"/>
      <c r="Y29" s="62" t="n"/>
      <c r="Z29" s="47" t="n"/>
      <c r="AA29" s="47" t="n"/>
      <c r="AB29" s="62" t="n"/>
    </row>
    <row r="30" ht="15.75" customHeight="1">
      <c r="A30" s="47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48" t="n"/>
      <c r="T30" s="61" t="n"/>
      <c r="U30" s="62" t="n"/>
      <c r="V30" s="62" t="n"/>
      <c r="W30" s="62" t="n"/>
      <c r="X30" s="47" t="n"/>
      <c r="Y30" s="62" t="n"/>
      <c r="Z30" s="47" t="n"/>
      <c r="AA30" s="47" t="n"/>
      <c r="AB30" s="62" t="n"/>
    </row>
    <row r="31" ht="15.75" customHeight="1">
      <c r="A31" s="47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48" t="n"/>
      <c r="T31" s="61" t="n"/>
      <c r="U31" s="62" t="n"/>
      <c r="V31" s="62" t="n"/>
      <c r="W31" s="62" t="n"/>
      <c r="X31" s="47" t="n"/>
      <c r="Y31" s="62" t="n"/>
      <c r="Z31" s="47" t="n"/>
      <c r="AA31" s="47" t="n"/>
      <c r="AB31" s="62" t="n"/>
    </row>
    <row r="32" ht="15.75" customHeight="1">
      <c r="A32" s="47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48" t="n"/>
      <c r="T32" s="61" t="n"/>
      <c r="U32" s="62" t="n"/>
      <c r="V32" s="62" t="n"/>
      <c r="W32" s="62" t="n"/>
      <c r="X32" s="47" t="n"/>
      <c r="Y32" s="62" t="n"/>
      <c r="Z32" s="47" t="n"/>
      <c r="AA32" s="47" t="n"/>
      <c r="AB32" s="62" t="n"/>
    </row>
    <row r="33" ht="15.75" customHeight="1">
      <c r="A33" s="47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48" t="n"/>
      <c r="T33" s="61" t="n"/>
      <c r="U33" s="62" t="n"/>
      <c r="V33" s="62" t="n"/>
      <c r="W33" s="62" t="n"/>
      <c r="X33" s="47" t="n"/>
      <c r="Y33" s="62" t="n"/>
      <c r="Z33" s="47" t="n"/>
      <c r="AA33" s="47" t="n"/>
      <c r="AB33" s="62" t="n"/>
    </row>
    <row r="34" ht="15.75" customHeight="1">
      <c r="A34" s="47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48" t="n"/>
      <c r="T34" s="61" t="n"/>
      <c r="U34" s="62" t="n"/>
      <c r="V34" s="62" t="n"/>
      <c r="W34" s="62" t="n"/>
      <c r="X34" s="47" t="n"/>
      <c r="Y34" s="62" t="n"/>
      <c r="Z34" s="47" t="n"/>
      <c r="AA34" s="47" t="n"/>
      <c r="AB34" s="62" t="n"/>
    </row>
    <row r="35" ht="15.75" customHeight="1">
      <c r="A35" s="47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48" t="n"/>
      <c r="T35" s="61" t="n"/>
      <c r="U35" s="62" t="n"/>
      <c r="V35" s="62" t="n"/>
      <c r="W35" s="62" t="n"/>
      <c r="X35" s="47" t="n"/>
      <c r="Y35" s="62" t="n"/>
      <c r="Z35" s="47" t="n"/>
      <c r="AA35" s="47" t="n"/>
      <c r="AB35" s="62" t="n"/>
    </row>
    <row r="36" ht="15.75" customHeight="1">
      <c r="A36" s="47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48" t="n"/>
      <c r="T36" s="61" t="n"/>
      <c r="U36" s="62" t="n"/>
      <c r="V36" s="62" t="n"/>
      <c r="W36" s="62" t="n"/>
      <c r="X36" s="47" t="n"/>
      <c r="Y36" s="62" t="n"/>
      <c r="Z36" s="47" t="n"/>
      <c r="AA36" s="47" t="n"/>
      <c r="AB36" s="62" t="n"/>
    </row>
    <row r="37" ht="15.75" customHeight="1">
      <c r="A37" s="47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48" t="n"/>
      <c r="T37" s="61" t="n"/>
      <c r="U37" s="62" t="n"/>
      <c r="V37" s="62" t="n"/>
      <c r="W37" s="62" t="n"/>
      <c r="X37" s="47" t="n"/>
      <c r="Y37" s="62" t="n"/>
      <c r="Z37" s="47" t="n"/>
      <c r="AA37" s="47" t="n"/>
      <c r="AB37" s="62" t="n"/>
    </row>
    <row r="38" ht="15.75" customHeight="1">
      <c r="A38" s="47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48" t="n"/>
      <c r="T38" s="61" t="n"/>
      <c r="U38" s="62" t="n"/>
      <c r="V38" s="62" t="n"/>
      <c r="W38" s="62" t="n"/>
      <c r="X38" s="47" t="n"/>
      <c r="Y38" s="62" t="n"/>
      <c r="Z38" s="47" t="n"/>
      <c r="AA38" s="47" t="n"/>
      <c r="AB38" s="62" t="n"/>
    </row>
    <row r="39" ht="15.75" customHeight="1">
      <c r="A39" s="47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48" t="n"/>
      <c r="T39" s="61" t="n"/>
      <c r="U39" s="62" t="n"/>
      <c r="V39" s="62" t="n"/>
      <c r="W39" s="62" t="n"/>
      <c r="X39" s="47" t="n"/>
      <c r="Y39" s="62" t="n"/>
      <c r="Z39" s="47" t="n"/>
      <c r="AA39" s="47" t="n"/>
      <c r="AB39" s="62" t="n"/>
    </row>
    <row r="40" ht="15.75" customHeight="1">
      <c r="A40" s="47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48" t="n"/>
      <c r="T40" s="61" t="n"/>
      <c r="U40" s="62" t="n"/>
      <c r="V40" s="62" t="n"/>
      <c r="W40" s="62" t="n"/>
      <c r="X40" s="47" t="n"/>
      <c r="Y40" s="62" t="n"/>
      <c r="Z40" s="47" t="n"/>
      <c r="AA40" s="47" t="n"/>
      <c r="AB40" s="62" t="n"/>
    </row>
    <row r="41" ht="15.75" customHeight="1">
      <c r="A41" s="47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48" t="n"/>
      <c r="T41" s="61" t="n"/>
      <c r="U41" s="62" t="n"/>
      <c r="V41" s="62" t="n"/>
      <c r="W41" s="62" t="n"/>
      <c r="X41" s="47" t="n"/>
      <c r="Y41" s="62" t="n"/>
      <c r="Z41" s="47" t="n"/>
      <c r="AA41" s="47" t="n"/>
      <c r="AB41" s="62" t="n"/>
    </row>
    <row r="42" ht="15.75" customHeight="1">
      <c r="A42" s="47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48" t="n"/>
      <c r="T42" s="61" t="n"/>
      <c r="U42" s="62" t="n"/>
      <c r="V42" s="62" t="n"/>
      <c r="W42" s="62" t="n"/>
      <c r="X42" s="47" t="n"/>
      <c r="Y42" s="62" t="n"/>
      <c r="Z42" s="47" t="n"/>
      <c r="AA42" s="47" t="n"/>
      <c r="AB42" s="62" t="n"/>
    </row>
    <row r="43" ht="15.75" customHeight="1">
      <c r="A43" s="47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48" t="n"/>
      <c r="T43" s="61" t="n"/>
      <c r="U43" s="62" t="n"/>
      <c r="V43" s="62" t="n"/>
      <c r="W43" s="62" t="n"/>
      <c r="X43" s="47" t="n"/>
      <c r="Y43" s="62" t="n"/>
      <c r="Z43" s="47" t="n"/>
      <c r="AA43" s="47" t="n"/>
      <c r="AB43" s="62" t="n"/>
    </row>
    <row r="44" ht="15.75" customHeight="1">
      <c r="A44" s="47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48" t="n"/>
      <c r="T44" s="61" t="n"/>
      <c r="U44" s="62" t="n"/>
      <c r="V44" s="62" t="n"/>
      <c r="W44" s="62" t="n"/>
      <c r="X44" s="47" t="n"/>
      <c r="Y44" s="62" t="n"/>
      <c r="Z44" s="47" t="n"/>
      <c r="AA44" s="47" t="n"/>
      <c r="AB44" s="62" t="n"/>
    </row>
    <row r="45" ht="15.75" customHeight="1">
      <c r="A45" s="47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48" t="n"/>
      <c r="T45" s="61" t="n"/>
      <c r="U45" s="62" t="n"/>
      <c r="V45" s="62" t="n"/>
      <c r="W45" s="62" t="n"/>
      <c r="X45" s="47" t="n"/>
      <c r="Y45" s="62" t="n"/>
      <c r="Z45" s="47" t="n"/>
      <c r="AA45" s="47" t="n"/>
      <c r="AB45" s="62" t="n"/>
    </row>
    <row r="46" ht="15.75" customHeight="1">
      <c r="A46" s="47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48" t="n"/>
      <c r="T46" s="61" t="n"/>
      <c r="U46" s="62" t="n"/>
      <c r="V46" s="62" t="n"/>
      <c r="W46" s="62" t="n"/>
      <c r="X46" s="47" t="n"/>
      <c r="Y46" s="62" t="n"/>
      <c r="Z46" s="47" t="n"/>
      <c r="AA46" s="47" t="n"/>
      <c r="AB46" s="62" t="n"/>
    </row>
    <row r="47" ht="15.75" customHeight="1">
      <c r="A47" s="47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48" t="n"/>
      <c r="T47" s="61" t="n"/>
      <c r="U47" s="62" t="n"/>
      <c r="V47" s="62" t="n"/>
      <c r="W47" s="62" t="n"/>
      <c r="X47" s="47" t="n"/>
      <c r="Y47" s="62" t="n"/>
      <c r="Z47" s="47" t="n"/>
      <c r="AA47" s="47" t="n"/>
      <c r="AB47" s="62" t="n"/>
    </row>
    <row r="48" ht="15.75" customHeight="1">
      <c r="A48" s="47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48" t="n"/>
      <c r="T48" s="61" t="n"/>
      <c r="U48" s="62" t="n"/>
      <c r="V48" s="62" t="n"/>
      <c r="W48" s="62" t="n"/>
      <c r="X48" s="47" t="n"/>
      <c r="Y48" s="62" t="n"/>
      <c r="Z48" s="47" t="n"/>
      <c r="AA48" s="47" t="n"/>
      <c r="AB48" s="62" t="n"/>
    </row>
    <row r="49" ht="15.75" customHeight="1">
      <c r="A49" s="47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48" t="n"/>
      <c r="T49" s="61" t="n"/>
      <c r="U49" s="62" t="n"/>
      <c r="V49" s="62" t="n"/>
      <c r="W49" s="62" t="n"/>
      <c r="X49" s="47" t="n"/>
      <c r="Y49" s="62" t="n"/>
      <c r="Z49" s="47" t="n"/>
      <c r="AA49" s="47" t="n"/>
      <c r="AB49" s="62" t="n"/>
    </row>
    <row r="50" ht="15.75" customHeight="1">
      <c r="A50" s="47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48" t="n"/>
      <c r="T50" s="61" t="n"/>
      <c r="U50" s="62" t="n"/>
      <c r="V50" s="62" t="n"/>
      <c r="W50" s="62" t="n"/>
      <c r="X50" s="47" t="n"/>
      <c r="Y50" s="62" t="n"/>
      <c r="Z50" s="47" t="n"/>
      <c r="AA50" s="47" t="n"/>
      <c r="AB50" s="62" t="n"/>
    </row>
    <row r="51" ht="15.75" customHeight="1">
      <c r="A51" s="47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48" t="n"/>
      <c r="T51" s="61" t="n"/>
      <c r="U51" s="62" t="n"/>
      <c r="V51" s="62" t="n"/>
      <c r="W51" s="62" t="n"/>
      <c r="X51" s="47" t="n"/>
      <c r="Y51" s="62" t="n"/>
      <c r="Z51" s="47" t="n"/>
      <c r="AA51" s="47" t="n"/>
      <c r="AB51" s="62" t="n"/>
    </row>
    <row r="52" ht="15.75" customHeight="1">
      <c r="A52" s="47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48" t="n"/>
      <c r="T52" s="61" t="n"/>
      <c r="U52" s="62" t="n"/>
      <c r="V52" s="62" t="n"/>
      <c r="W52" s="62" t="n"/>
      <c r="X52" s="47" t="n"/>
      <c r="Y52" s="62" t="n"/>
      <c r="Z52" s="47" t="n"/>
      <c r="AA52" s="47" t="n"/>
      <c r="AB52" s="62" t="n"/>
    </row>
    <row r="53" ht="15.75" customHeight="1">
      <c r="A53" s="47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48" t="n"/>
      <c r="T53" s="61" t="n"/>
      <c r="U53" s="62" t="n"/>
      <c r="V53" s="62" t="n"/>
      <c r="W53" s="62" t="n"/>
      <c r="X53" s="47" t="n"/>
      <c r="Y53" s="62" t="n"/>
      <c r="Z53" s="47" t="n"/>
      <c r="AA53" s="47" t="n"/>
      <c r="AB53" s="62" t="n"/>
    </row>
    <row r="54" ht="15.75" customHeight="1">
      <c r="A54" s="47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48" t="n"/>
      <c r="T54" s="61" t="n"/>
      <c r="U54" s="62" t="n"/>
      <c r="V54" s="62" t="n"/>
      <c r="W54" s="62" t="n"/>
      <c r="X54" s="47" t="n"/>
      <c r="Y54" s="62" t="n"/>
      <c r="Z54" s="47" t="n"/>
      <c r="AA54" s="47" t="n"/>
      <c r="AB54" s="62" t="n"/>
    </row>
    <row r="55" ht="15.75" customHeight="1">
      <c r="A55" s="47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48" t="n"/>
      <c r="T55" s="61" t="n"/>
      <c r="U55" s="62" t="n"/>
      <c r="V55" s="62" t="n"/>
      <c r="W55" s="62" t="n"/>
      <c r="X55" s="47" t="n"/>
      <c r="Y55" s="62" t="n"/>
      <c r="Z55" s="47" t="n"/>
      <c r="AA55" s="47" t="n"/>
      <c r="AB55" s="62" t="n"/>
    </row>
    <row r="56" ht="15.75" customHeight="1">
      <c r="A56" s="47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48" t="n"/>
      <c r="T56" s="61" t="n"/>
      <c r="U56" s="62" t="n"/>
      <c r="V56" s="62" t="n"/>
      <c r="W56" s="62" t="n"/>
      <c r="X56" s="47" t="n"/>
      <c r="Y56" s="62" t="n"/>
      <c r="Z56" s="47" t="n"/>
      <c r="AA56" s="47" t="n"/>
      <c r="AB56" s="62" t="n"/>
    </row>
    <row r="57" ht="15.75" customHeight="1">
      <c r="A57" s="47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48" t="n"/>
      <c r="T57" s="61" t="n"/>
      <c r="U57" s="62" t="n"/>
      <c r="V57" s="62" t="n"/>
      <c r="W57" s="62" t="n"/>
      <c r="X57" s="47" t="n"/>
      <c r="Y57" s="62" t="n"/>
      <c r="Z57" s="47" t="n"/>
      <c r="AA57" s="47" t="n"/>
      <c r="AB57" s="62" t="n"/>
    </row>
    <row r="58" ht="15.75" customHeight="1">
      <c r="A58" s="47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48" t="n"/>
      <c r="T58" s="61" t="n"/>
      <c r="U58" s="62" t="n"/>
      <c r="V58" s="62" t="n"/>
      <c r="W58" s="62" t="n"/>
      <c r="X58" s="47" t="n"/>
      <c r="Y58" s="62" t="n"/>
      <c r="Z58" s="47" t="n"/>
      <c r="AA58" s="47" t="n"/>
      <c r="AB58" s="62" t="n"/>
    </row>
    <row r="59" ht="15.75" customHeight="1">
      <c r="A59" s="47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48" t="n"/>
      <c r="T59" s="61" t="n"/>
      <c r="U59" s="62" t="n"/>
      <c r="V59" s="62" t="n"/>
      <c r="W59" s="62" t="n"/>
      <c r="X59" s="47" t="n"/>
      <c r="Y59" s="62" t="n"/>
      <c r="Z59" s="47" t="n"/>
      <c r="AA59" s="47" t="n"/>
      <c r="AB59" s="62" t="n"/>
    </row>
    <row r="60" ht="15.75" customHeight="1">
      <c r="A60" s="47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48" t="n"/>
      <c r="T60" s="61" t="n"/>
      <c r="U60" s="62" t="n"/>
      <c r="V60" s="62" t="n"/>
      <c r="W60" s="62" t="n"/>
      <c r="X60" s="47" t="n"/>
      <c r="Y60" s="62" t="n"/>
      <c r="Z60" s="47" t="n"/>
      <c r="AA60" s="47" t="n"/>
      <c r="AB60" s="62" t="n"/>
    </row>
    <row r="61" ht="15.75" customHeight="1">
      <c r="A61" s="47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48" t="n"/>
      <c r="T61" s="61" t="n"/>
      <c r="U61" s="62" t="n"/>
      <c r="V61" s="62" t="n"/>
      <c r="W61" s="62" t="n"/>
      <c r="X61" s="47" t="n"/>
      <c r="Y61" s="62" t="n"/>
      <c r="Z61" s="47" t="n"/>
      <c r="AA61" s="47" t="n"/>
      <c r="AB61" s="62" t="n"/>
    </row>
    <row r="62" ht="15.75" customHeight="1">
      <c r="A62" s="47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48" t="n"/>
      <c r="T62" s="61" t="n"/>
      <c r="U62" s="62" t="n"/>
      <c r="V62" s="62" t="n"/>
      <c r="W62" s="62" t="n"/>
      <c r="X62" s="47" t="n"/>
      <c r="Y62" s="62" t="n"/>
      <c r="Z62" s="47" t="n"/>
      <c r="AA62" s="47" t="n"/>
      <c r="AB62" s="62" t="n"/>
    </row>
    <row r="63" ht="15.75" customHeight="1">
      <c r="A63" s="47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48" t="n"/>
      <c r="T63" s="61" t="n"/>
      <c r="U63" s="62" t="n"/>
      <c r="V63" s="62" t="n"/>
      <c r="W63" s="62" t="n"/>
      <c r="X63" s="47" t="n"/>
      <c r="Y63" s="62" t="n"/>
      <c r="Z63" s="47" t="n"/>
      <c r="AA63" s="47" t="n"/>
      <c r="AB63" s="62" t="n"/>
    </row>
    <row r="64" ht="15.75" customHeight="1">
      <c r="A64" s="47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48" t="n"/>
      <c r="T64" s="61" t="n"/>
      <c r="U64" s="62" t="n"/>
      <c r="V64" s="62" t="n"/>
      <c r="W64" s="62" t="n"/>
      <c r="X64" s="47" t="n"/>
      <c r="Y64" s="62" t="n"/>
      <c r="Z64" s="47" t="n"/>
      <c r="AA64" s="47" t="n"/>
      <c r="AB64" s="62" t="n"/>
    </row>
    <row r="65" ht="15.75" customHeight="1">
      <c r="A65" s="47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48" t="n"/>
      <c r="T65" s="61" t="n"/>
      <c r="U65" s="62" t="n"/>
      <c r="V65" s="62" t="n"/>
      <c r="W65" s="62" t="n"/>
      <c r="X65" s="47" t="n"/>
      <c r="Y65" s="62" t="n"/>
      <c r="Z65" s="47" t="n"/>
      <c r="AA65" s="47" t="n"/>
      <c r="AB65" s="62" t="n"/>
    </row>
    <row r="66" ht="15.75" customHeight="1">
      <c r="A66" s="47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48" t="n"/>
      <c r="T66" s="61" t="n"/>
      <c r="U66" s="62" t="n"/>
      <c r="V66" s="62" t="n"/>
      <c r="W66" s="62" t="n"/>
      <c r="X66" s="47" t="n"/>
      <c r="Y66" s="62" t="n"/>
      <c r="Z66" s="47" t="n"/>
      <c r="AA66" s="47" t="n"/>
      <c r="AB66" s="62" t="n"/>
    </row>
    <row r="67" ht="15.75" customHeight="1">
      <c r="A67" s="47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48" t="n"/>
      <c r="T67" s="61" t="n"/>
      <c r="U67" s="62" t="n"/>
      <c r="V67" s="62" t="n"/>
      <c r="W67" s="62" t="n"/>
      <c r="X67" s="47" t="n"/>
      <c r="Y67" s="62" t="n"/>
      <c r="Z67" s="47" t="n"/>
      <c r="AA67" s="47" t="n"/>
      <c r="AB67" s="62" t="n"/>
    </row>
    <row r="68" ht="15.75" customHeight="1">
      <c r="A68" s="47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48" t="n"/>
      <c r="T68" s="61" t="n"/>
      <c r="U68" s="62" t="n"/>
      <c r="V68" s="62" t="n"/>
      <c r="W68" s="62" t="n"/>
      <c r="X68" s="47" t="n"/>
      <c r="Y68" s="62" t="n"/>
      <c r="Z68" s="47" t="n"/>
      <c r="AA68" s="47" t="n"/>
      <c r="AB68" s="62" t="n"/>
    </row>
    <row r="69" ht="15.75" customHeight="1">
      <c r="A69" s="47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48" t="n"/>
      <c r="T69" s="61" t="n"/>
      <c r="U69" s="62" t="n"/>
      <c r="V69" s="62" t="n"/>
      <c r="W69" s="62" t="n"/>
      <c r="X69" s="47" t="n"/>
      <c r="Y69" s="62" t="n"/>
      <c r="Z69" s="47" t="n"/>
      <c r="AA69" s="47" t="n"/>
      <c r="AB69" s="62" t="n"/>
    </row>
    <row r="70" ht="15.75" customHeight="1">
      <c r="A70" s="47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48" t="n"/>
      <c r="T70" s="61" t="n"/>
      <c r="U70" s="62" t="n"/>
      <c r="V70" s="62" t="n"/>
      <c r="W70" s="62" t="n"/>
      <c r="X70" s="47" t="n"/>
      <c r="Y70" s="62" t="n"/>
      <c r="Z70" s="47" t="n"/>
      <c r="AA70" s="47" t="n"/>
      <c r="AB70" s="62" t="n"/>
    </row>
    <row r="71" ht="15.75" customHeight="1">
      <c r="A71" s="47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48" t="n"/>
      <c r="T71" s="61" t="n"/>
      <c r="U71" s="62" t="n"/>
      <c r="V71" s="62" t="n"/>
      <c r="W71" s="62" t="n"/>
      <c r="X71" s="47" t="n"/>
      <c r="Y71" s="62" t="n"/>
      <c r="Z71" s="47" t="n"/>
      <c r="AA71" s="47" t="n"/>
      <c r="AB71" s="62" t="n"/>
    </row>
    <row r="72" ht="15.75" customHeight="1">
      <c r="A72" s="47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48" t="n"/>
      <c r="T72" s="61" t="n"/>
      <c r="U72" s="62" t="n"/>
      <c r="V72" s="62" t="n"/>
      <c r="W72" s="62" t="n"/>
      <c r="X72" s="47" t="n"/>
      <c r="Y72" s="62" t="n"/>
      <c r="Z72" s="47" t="n"/>
      <c r="AA72" s="47" t="n"/>
      <c r="AB72" s="62" t="n"/>
    </row>
    <row r="73" ht="15.75" customHeight="1">
      <c r="A73" s="47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48" t="n"/>
      <c r="T73" s="61" t="n"/>
      <c r="U73" s="62" t="n"/>
      <c r="V73" s="62" t="n"/>
      <c r="W73" s="62" t="n"/>
      <c r="X73" s="47" t="n"/>
      <c r="Y73" s="62" t="n"/>
      <c r="Z73" s="47" t="n"/>
      <c r="AA73" s="47" t="n"/>
      <c r="AB73" s="62" t="n"/>
    </row>
    <row r="74" ht="15.75" customHeight="1">
      <c r="A74" s="47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48" t="n"/>
      <c r="T74" s="61" t="n"/>
      <c r="U74" s="62" t="n"/>
      <c r="V74" s="62" t="n"/>
      <c r="W74" s="62" t="n"/>
      <c r="X74" s="47" t="n"/>
      <c r="Y74" s="62" t="n"/>
      <c r="Z74" s="47" t="n"/>
      <c r="AA74" s="47" t="n"/>
      <c r="AB74" s="62" t="n"/>
    </row>
    <row r="75" ht="15.75" customHeight="1">
      <c r="A75" s="47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48" t="n"/>
      <c r="T75" s="61" t="n"/>
      <c r="U75" s="62" t="n"/>
      <c r="V75" s="62" t="n"/>
      <c r="W75" s="62" t="n"/>
      <c r="X75" s="47" t="n"/>
      <c r="Y75" s="62" t="n"/>
      <c r="Z75" s="47" t="n"/>
      <c r="AA75" s="47" t="n"/>
      <c r="AB75" s="62" t="n"/>
    </row>
    <row r="76" ht="15.75" customHeight="1">
      <c r="A76" s="47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48" t="n"/>
      <c r="T76" s="61" t="n"/>
      <c r="U76" s="62" t="n"/>
      <c r="V76" s="62" t="n"/>
      <c r="W76" s="62" t="n"/>
      <c r="X76" s="47" t="n"/>
      <c r="Y76" s="62" t="n"/>
      <c r="Z76" s="47" t="n"/>
      <c r="AA76" s="47" t="n"/>
      <c r="AB76" s="62" t="n"/>
    </row>
    <row r="77" ht="15.75" customHeight="1">
      <c r="A77" s="47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48" t="n"/>
      <c r="T77" s="61" t="n"/>
      <c r="U77" s="62" t="n"/>
      <c r="V77" s="62" t="n"/>
      <c r="W77" s="62" t="n"/>
      <c r="X77" s="47" t="n"/>
      <c r="Y77" s="62" t="n"/>
      <c r="Z77" s="47" t="n"/>
      <c r="AA77" s="47" t="n"/>
      <c r="AB77" s="62" t="n"/>
    </row>
    <row r="78" ht="15.75" customHeight="1">
      <c r="A78" s="47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48" t="n"/>
      <c r="T78" s="61" t="n"/>
      <c r="U78" s="62" t="n"/>
      <c r="V78" s="62" t="n"/>
      <c r="W78" s="62" t="n"/>
      <c r="X78" s="47" t="n"/>
      <c r="Y78" s="62" t="n"/>
      <c r="Z78" s="47" t="n"/>
      <c r="AA78" s="47" t="n"/>
      <c r="AB78" s="62" t="n"/>
    </row>
    <row r="79" ht="15.75" customHeight="1">
      <c r="A79" s="47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48" t="n"/>
      <c r="T79" s="61" t="n"/>
      <c r="U79" s="62" t="n"/>
      <c r="V79" s="62" t="n"/>
      <c r="W79" s="62" t="n"/>
      <c r="X79" s="47" t="n"/>
      <c r="Y79" s="62" t="n"/>
      <c r="Z79" s="47" t="n"/>
      <c r="AA79" s="47" t="n"/>
      <c r="AB79" s="62" t="n"/>
    </row>
    <row r="80" ht="15.75" customHeight="1">
      <c r="A80" s="47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48" t="n"/>
      <c r="T80" s="61" t="n"/>
      <c r="U80" s="62" t="n"/>
      <c r="V80" s="62" t="n"/>
      <c r="W80" s="62" t="n"/>
      <c r="X80" s="47" t="n"/>
      <c r="Y80" s="62" t="n"/>
      <c r="Z80" s="47" t="n"/>
      <c r="AA80" s="47" t="n"/>
      <c r="AB80" s="62" t="n"/>
    </row>
    <row r="81" ht="15.75" customHeight="1">
      <c r="A81" s="47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48" t="n"/>
      <c r="T81" s="61" t="n"/>
      <c r="U81" s="62" t="n"/>
      <c r="V81" s="62" t="n"/>
      <c r="W81" s="62" t="n"/>
      <c r="X81" s="47" t="n"/>
      <c r="Y81" s="62" t="n"/>
      <c r="Z81" s="47" t="n"/>
      <c r="AA81" s="47" t="n"/>
      <c r="AB81" s="62" t="n"/>
    </row>
    <row r="82" ht="15.75" customHeight="1">
      <c r="A82" s="47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48" t="n"/>
      <c r="T82" s="61" t="n"/>
      <c r="U82" s="62" t="n"/>
      <c r="V82" s="62" t="n"/>
      <c r="W82" s="62" t="n"/>
      <c r="X82" s="47" t="n"/>
      <c r="Y82" s="62" t="n"/>
      <c r="Z82" s="47" t="n"/>
      <c r="AA82" s="47" t="n"/>
      <c r="AB82" s="62" t="n"/>
    </row>
    <row r="83" ht="15.75" customHeight="1">
      <c r="A83" s="47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48" t="n"/>
      <c r="T83" s="61" t="n"/>
      <c r="U83" s="62" t="n"/>
      <c r="V83" s="62" t="n"/>
      <c r="W83" s="62" t="n"/>
      <c r="X83" s="47" t="n"/>
      <c r="Y83" s="62" t="n"/>
      <c r="Z83" s="47" t="n"/>
      <c r="AA83" s="47" t="n"/>
      <c r="AB83" s="62" t="n"/>
    </row>
    <row r="84" ht="15.75" customHeight="1">
      <c r="A84" s="47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48" t="n"/>
      <c r="T84" s="61" t="n"/>
      <c r="U84" s="62" t="n"/>
      <c r="V84" s="62" t="n"/>
      <c r="W84" s="62" t="n"/>
      <c r="X84" s="47" t="n"/>
      <c r="Y84" s="62" t="n"/>
      <c r="Z84" s="47" t="n"/>
      <c r="AA84" s="47" t="n"/>
      <c r="AB84" s="62" t="n"/>
    </row>
    <row r="85" ht="15.75" customHeight="1">
      <c r="A85" s="47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48" t="n"/>
      <c r="T85" s="61" t="n"/>
      <c r="U85" s="62" t="n"/>
      <c r="V85" s="62" t="n"/>
      <c r="W85" s="62" t="n"/>
      <c r="X85" s="47" t="n"/>
      <c r="Y85" s="62" t="n"/>
      <c r="Z85" s="47" t="n"/>
      <c r="AA85" s="47" t="n"/>
      <c r="AB85" s="62" t="n"/>
    </row>
    <row r="86" ht="15.75" customHeight="1">
      <c r="A86" s="47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48" t="n"/>
      <c r="T86" s="61" t="n"/>
      <c r="U86" s="62" t="n"/>
      <c r="V86" s="62" t="n"/>
      <c r="W86" s="62" t="n"/>
      <c r="X86" s="47" t="n"/>
      <c r="Y86" s="62" t="n"/>
      <c r="Z86" s="47" t="n"/>
      <c r="AA86" s="47" t="n"/>
      <c r="AB86" s="62" t="n"/>
    </row>
    <row r="87" ht="15.75" customHeight="1">
      <c r="A87" s="47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48" t="n"/>
      <c r="T87" s="61" t="n"/>
      <c r="U87" s="62" t="n"/>
      <c r="V87" s="62" t="n"/>
      <c r="W87" s="62" t="n"/>
      <c r="X87" s="47" t="n"/>
      <c r="Y87" s="62" t="n"/>
      <c r="Z87" s="47" t="n"/>
      <c r="AA87" s="47" t="n"/>
      <c r="AB87" s="62" t="n"/>
    </row>
    <row r="88" ht="15.75" customHeight="1">
      <c r="A88" s="47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48" t="n"/>
      <c r="T88" s="61" t="n"/>
      <c r="U88" s="62" t="n"/>
      <c r="V88" s="62" t="n"/>
      <c r="W88" s="62" t="n"/>
      <c r="X88" s="47" t="n"/>
      <c r="Y88" s="62" t="n"/>
      <c r="Z88" s="47" t="n"/>
      <c r="AA88" s="47" t="n"/>
      <c r="AB88" s="62" t="n"/>
    </row>
    <row r="89" ht="15.75" customHeight="1">
      <c r="A89" s="47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48" t="n"/>
      <c r="T89" s="61" t="n"/>
      <c r="U89" s="62" t="n"/>
      <c r="V89" s="62" t="n"/>
      <c r="W89" s="62" t="n"/>
      <c r="X89" s="47" t="n"/>
      <c r="Y89" s="62" t="n"/>
      <c r="Z89" s="47" t="n"/>
      <c r="AA89" s="47" t="n"/>
      <c r="AB89" s="62" t="n"/>
    </row>
    <row r="90" ht="15.75" customHeight="1">
      <c r="A90" s="47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48" t="n"/>
      <c r="T90" s="61" t="n"/>
      <c r="U90" s="62" t="n"/>
      <c r="V90" s="62" t="n"/>
      <c r="W90" s="62" t="n"/>
      <c r="X90" s="47" t="n"/>
      <c r="Y90" s="62" t="n"/>
      <c r="Z90" s="47" t="n"/>
      <c r="AA90" s="47" t="n"/>
      <c r="AB90" s="62" t="n"/>
    </row>
    <row r="91" ht="15.75" customHeight="1">
      <c r="A91" s="47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48" t="n"/>
      <c r="T91" s="61" t="n"/>
      <c r="U91" s="62" t="n"/>
      <c r="V91" s="62" t="n"/>
      <c r="W91" s="62" t="n"/>
      <c r="X91" s="47" t="n"/>
      <c r="Y91" s="62" t="n"/>
      <c r="Z91" s="47" t="n"/>
      <c r="AA91" s="47" t="n"/>
      <c r="AB91" s="62" t="n"/>
    </row>
    <row r="92" ht="15.75" customHeight="1">
      <c r="A92" s="47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48" t="n"/>
      <c r="T92" s="61" t="n"/>
      <c r="U92" s="62" t="n"/>
      <c r="V92" s="62" t="n"/>
      <c r="W92" s="62" t="n"/>
      <c r="X92" s="47" t="n"/>
      <c r="Y92" s="62" t="n"/>
      <c r="Z92" s="47" t="n"/>
      <c r="AA92" s="47" t="n"/>
      <c r="AB92" s="62" t="n"/>
    </row>
    <row r="93" ht="15.75" customHeight="1">
      <c r="A93" s="47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48" t="n"/>
      <c r="T93" s="61" t="n"/>
      <c r="U93" s="62" t="n"/>
      <c r="V93" s="62" t="n"/>
      <c r="W93" s="62" t="n"/>
      <c r="X93" s="47" t="n"/>
      <c r="Y93" s="62" t="n"/>
      <c r="Z93" s="47" t="n"/>
      <c r="AA93" s="47" t="n"/>
      <c r="AB93" s="62" t="n"/>
    </row>
    <row r="94" ht="15.75" customHeight="1">
      <c r="A94" s="47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48" t="n"/>
      <c r="T94" s="61" t="n"/>
      <c r="U94" s="62" t="n"/>
      <c r="V94" s="62" t="n"/>
      <c r="W94" s="62" t="n"/>
      <c r="X94" s="47" t="n"/>
      <c r="Y94" s="62" t="n"/>
      <c r="Z94" s="47" t="n"/>
      <c r="AA94" s="47" t="n"/>
      <c r="AB94" s="62" t="n"/>
    </row>
    <row r="95" ht="15.75" customHeight="1">
      <c r="A95" s="47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48" t="n"/>
      <c r="T95" s="61" t="n"/>
      <c r="U95" s="62" t="n"/>
      <c r="V95" s="62" t="n"/>
      <c r="W95" s="62" t="n"/>
      <c r="X95" s="47" t="n"/>
      <c r="Y95" s="62" t="n"/>
      <c r="Z95" s="47" t="n"/>
      <c r="AA95" s="47" t="n"/>
      <c r="AB95" s="62" t="n"/>
    </row>
    <row r="96" ht="15.75" customHeight="1">
      <c r="A96" s="47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48" t="n"/>
      <c r="T96" s="61" t="n"/>
      <c r="U96" s="62" t="n"/>
      <c r="V96" s="62" t="n"/>
      <c r="W96" s="62" t="n"/>
      <c r="X96" s="47" t="n"/>
      <c r="Y96" s="62" t="n"/>
      <c r="Z96" s="47" t="n"/>
      <c r="AA96" s="47" t="n"/>
      <c r="AB96" s="62" t="n"/>
    </row>
    <row r="97" ht="15.75" customHeight="1">
      <c r="A97" s="47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48" t="n"/>
      <c r="T97" s="61" t="n"/>
      <c r="U97" s="62" t="n"/>
      <c r="V97" s="62" t="n"/>
      <c r="W97" s="62" t="n"/>
      <c r="X97" s="47" t="n"/>
      <c r="Y97" s="62" t="n"/>
      <c r="Z97" s="47" t="n"/>
      <c r="AA97" s="47" t="n"/>
      <c r="AB97" s="62" t="n"/>
    </row>
    <row r="98" ht="15.75" customHeight="1">
      <c r="A98" s="47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48" t="n"/>
      <c r="T98" s="61" t="n"/>
      <c r="U98" s="62" t="n"/>
      <c r="V98" s="62" t="n"/>
      <c r="W98" s="62" t="n"/>
      <c r="X98" s="47" t="n"/>
      <c r="Y98" s="62" t="n"/>
      <c r="Z98" s="47" t="n"/>
      <c r="AA98" s="47" t="n"/>
      <c r="AB98" s="62" t="n"/>
    </row>
    <row r="99" ht="15.75" customHeight="1">
      <c r="A99" s="47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48" t="n"/>
      <c r="T99" s="61" t="n"/>
      <c r="U99" s="62" t="n"/>
      <c r="V99" s="62" t="n"/>
      <c r="W99" s="62" t="n"/>
      <c r="X99" s="47" t="n"/>
      <c r="Y99" s="62" t="n"/>
      <c r="Z99" s="47" t="n"/>
      <c r="AA99" s="47" t="n"/>
      <c r="AB99" s="62" t="n"/>
    </row>
    <row r="100" ht="15.75" customHeight="1">
      <c r="A100" s="47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48" t="n"/>
      <c r="T100" s="61" t="n"/>
      <c r="U100" s="62" t="n"/>
      <c r="V100" s="62" t="n"/>
      <c r="W100" s="62" t="n"/>
      <c r="X100" s="47" t="n"/>
      <c r="Y100" s="62" t="n"/>
      <c r="Z100" s="47" t="n"/>
      <c r="AA100" s="47" t="n"/>
      <c r="AB100" s="62" t="n"/>
    </row>
    <row r="101" ht="15.75" customHeight="1">
      <c r="A101" s="47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48" t="n"/>
      <c r="T101" s="61" t="n"/>
      <c r="U101" s="62" t="n"/>
      <c r="V101" s="62" t="n"/>
      <c r="W101" s="62" t="n"/>
      <c r="X101" s="47" t="n"/>
      <c r="Y101" s="62" t="n"/>
      <c r="Z101" s="47" t="n"/>
      <c r="AA101" s="47" t="n"/>
      <c r="AB101" s="62" t="n"/>
    </row>
    <row r="102" ht="15.75" customHeight="1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48" t="n"/>
      <c r="T102" s="61" t="n"/>
      <c r="U102" s="62" t="n"/>
      <c r="V102" s="62" t="n"/>
      <c r="W102" s="62" t="n"/>
      <c r="X102" s="47" t="n"/>
      <c r="Y102" s="62" t="n"/>
      <c r="Z102" s="47" t="n"/>
      <c r="AA102" s="47" t="n"/>
      <c r="AB102" s="62" t="n"/>
    </row>
    <row r="103" ht="15.75" customHeight="1">
      <c r="A103" s="47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48" t="n"/>
      <c r="T103" s="61" t="n"/>
      <c r="U103" s="62" t="n"/>
      <c r="V103" s="62" t="n"/>
      <c r="W103" s="62" t="n"/>
      <c r="X103" s="47" t="n"/>
      <c r="Y103" s="62" t="n"/>
      <c r="Z103" s="47" t="n"/>
      <c r="AA103" s="47" t="n"/>
      <c r="AB103" s="62" t="n"/>
    </row>
    <row r="104" ht="15.75" customHeight="1">
      <c r="A104" s="47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48" t="n"/>
      <c r="T104" s="61" t="n"/>
      <c r="U104" s="62" t="n"/>
      <c r="V104" s="62" t="n"/>
      <c r="W104" s="62" t="n"/>
      <c r="X104" s="47" t="n"/>
      <c r="Y104" s="62" t="n"/>
      <c r="Z104" s="47" t="n"/>
      <c r="AA104" s="47" t="n"/>
      <c r="AB104" s="62" t="n"/>
    </row>
    <row r="105" ht="15.75" customHeight="1">
      <c r="A105" s="47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48" t="n"/>
      <c r="T105" s="61" t="n"/>
      <c r="U105" s="62" t="n"/>
      <c r="V105" s="62" t="n"/>
      <c r="W105" s="62" t="n"/>
      <c r="X105" s="47" t="n"/>
      <c r="Y105" s="62" t="n"/>
      <c r="Z105" s="47" t="n"/>
      <c r="AA105" s="47" t="n"/>
      <c r="AB105" s="62" t="n"/>
    </row>
    <row r="106" ht="15.75" customHeight="1">
      <c r="A106" s="47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48" t="n"/>
      <c r="T106" s="61" t="n"/>
      <c r="U106" s="62" t="n"/>
      <c r="V106" s="62" t="n"/>
      <c r="W106" s="62" t="n"/>
      <c r="X106" s="47" t="n"/>
      <c r="Y106" s="62" t="n"/>
      <c r="Z106" s="47" t="n"/>
      <c r="AA106" s="47" t="n"/>
      <c r="AB106" s="62" t="n"/>
    </row>
    <row r="107" ht="15.75" customHeight="1">
      <c r="A107" s="47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48" t="n"/>
      <c r="T107" s="61" t="n"/>
      <c r="U107" s="62" t="n"/>
      <c r="V107" s="62" t="n"/>
      <c r="W107" s="62" t="n"/>
      <c r="X107" s="47" t="n"/>
      <c r="Y107" s="62" t="n"/>
      <c r="Z107" s="47" t="n"/>
      <c r="AA107" s="47" t="n"/>
      <c r="AB107" s="62" t="n"/>
    </row>
    <row r="108" ht="15.75" customHeight="1">
      <c r="A108" s="47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48" t="n"/>
      <c r="T108" s="61" t="n"/>
      <c r="U108" s="62" t="n"/>
      <c r="V108" s="62" t="n"/>
      <c r="W108" s="62" t="n"/>
      <c r="X108" s="47" t="n"/>
      <c r="Y108" s="62" t="n"/>
      <c r="Z108" s="47" t="n"/>
      <c r="AA108" s="47" t="n"/>
      <c r="AB108" s="62" t="n"/>
    </row>
    <row r="109" ht="15.75" customHeight="1">
      <c r="A109" s="47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48" t="n"/>
      <c r="T109" s="61" t="n"/>
      <c r="U109" s="62" t="n"/>
      <c r="V109" s="62" t="n"/>
      <c r="W109" s="62" t="n"/>
      <c r="X109" s="47" t="n"/>
      <c r="Y109" s="62" t="n"/>
      <c r="Z109" s="47" t="n"/>
      <c r="AA109" s="47" t="n"/>
      <c r="AB109" s="62" t="n"/>
    </row>
    <row r="110" ht="15.75" customHeight="1">
      <c r="A110" s="47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48" t="n"/>
      <c r="T110" s="61" t="n"/>
      <c r="U110" s="62" t="n"/>
      <c r="V110" s="62" t="n"/>
      <c r="W110" s="62" t="n"/>
      <c r="X110" s="47" t="n"/>
      <c r="Y110" s="62" t="n"/>
      <c r="Z110" s="47" t="n"/>
      <c r="AA110" s="47" t="n"/>
      <c r="AB110" s="62" t="n"/>
    </row>
    <row r="111" ht="15.75" customHeight="1">
      <c r="A111" s="47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48" t="n"/>
      <c r="T111" s="61" t="n"/>
      <c r="U111" s="62" t="n"/>
      <c r="V111" s="62" t="n"/>
      <c r="W111" s="62" t="n"/>
      <c r="X111" s="47" t="n"/>
      <c r="Y111" s="62" t="n"/>
      <c r="Z111" s="47" t="n"/>
      <c r="AA111" s="47" t="n"/>
      <c r="AB111" s="62" t="n"/>
    </row>
    <row r="112" ht="15.75" customHeight="1">
      <c r="A112" s="47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61" t="n"/>
      <c r="K112" s="61" t="n"/>
      <c r="L112" s="61" t="n"/>
      <c r="M112" s="61" t="n"/>
      <c r="N112" s="61" t="n"/>
      <c r="O112" s="61" t="n"/>
      <c r="P112" s="61" t="n"/>
      <c r="Q112" s="61" t="n"/>
      <c r="R112" s="61" t="n"/>
      <c r="S112" s="48" t="n"/>
      <c r="T112" s="61" t="n"/>
      <c r="U112" s="62" t="n"/>
      <c r="V112" s="62" t="n"/>
      <c r="W112" s="62" t="n"/>
      <c r="X112" s="47" t="n"/>
      <c r="Y112" s="62" t="n"/>
      <c r="Z112" s="47" t="n"/>
      <c r="AA112" s="47" t="n"/>
      <c r="AB112" s="62" t="n"/>
    </row>
    <row r="113" ht="15.75" customHeight="1">
      <c r="A113" s="47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61" t="n"/>
      <c r="K113" s="61" t="n"/>
      <c r="L113" s="61" t="n"/>
      <c r="M113" s="61" t="n"/>
      <c r="N113" s="61" t="n"/>
      <c r="O113" s="61" t="n"/>
      <c r="P113" s="61" t="n"/>
      <c r="Q113" s="61" t="n"/>
      <c r="R113" s="61" t="n"/>
      <c r="S113" s="48" t="n"/>
      <c r="T113" s="61" t="n"/>
      <c r="U113" s="62" t="n"/>
      <c r="V113" s="62" t="n"/>
      <c r="W113" s="62" t="n"/>
      <c r="X113" s="47" t="n"/>
      <c r="Y113" s="62" t="n"/>
      <c r="Z113" s="47" t="n"/>
      <c r="AA113" s="47" t="n"/>
      <c r="AB113" s="62" t="n"/>
    </row>
    <row r="114" ht="15.75" customHeight="1">
      <c r="A114" s="47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61" t="n"/>
      <c r="K114" s="61" t="n"/>
      <c r="L114" s="61" t="n"/>
      <c r="M114" s="61" t="n"/>
      <c r="N114" s="61" t="n"/>
      <c r="O114" s="61" t="n"/>
      <c r="P114" s="61" t="n"/>
      <c r="Q114" s="61" t="n"/>
      <c r="R114" s="61" t="n"/>
      <c r="S114" s="48" t="n"/>
      <c r="T114" s="61" t="n"/>
      <c r="U114" s="62" t="n"/>
      <c r="V114" s="62" t="n"/>
      <c r="W114" s="62" t="n"/>
      <c r="X114" s="47" t="n"/>
      <c r="Y114" s="62" t="n"/>
      <c r="Z114" s="47" t="n"/>
      <c r="AA114" s="47" t="n"/>
      <c r="AB114" s="62" t="n"/>
    </row>
    <row r="115" ht="15.75" customHeight="1">
      <c r="A115" s="47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61" t="n"/>
      <c r="K115" s="61" t="n"/>
      <c r="L115" s="61" t="n"/>
      <c r="M115" s="61" t="n"/>
      <c r="N115" s="61" t="n"/>
      <c r="O115" s="61" t="n"/>
      <c r="P115" s="61" t="n"/>
      <c r="Q115" s="61" t="n"/>
      <c r="R115" s="61" t="n"/>
      <c r="S115" s="48" t="n"/>
      <c r="T115" s="61" t="n"/>
      <c r="U115" s="62" t="n"/>
      <c r="V115" s="62" t="n"/>
      <c r="W115" s="62" t="n"/>
      <c r="X115" s="47" t="n"/>
      <c r="Y115" s="62" t="n"/>
      <c r="Z115" s="47" t="n"/>
      <c r="AA115" s="47" t="n"/>
      <c r="AB115" s="62" t="n"/>
    </row>
    <row r="116" ht="15.75" customHeight="1">
      <c r="A116" s="47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61" t="n"/>
      <c r="K116" s="61" t="n"/>
      <c r="L116" s="61" t="n"/>
      <c r="M116" s="61" t="n"/>
      <c r="N116" s="61" t="n"/>
      <c r="O116" s="61" t="n"/>
      <c r="P116" s="61" t="n"/>
      <c r="Q116" s="61" t="n"/>
      <c r="R116" s="61" t="n"/>
      <c r="S116" s="48" t="n"/>
      <c r="T116" s="61" t="n"/>
      <c r="U116" s="62" t="n"/>
      <c r="V116" s="62" t="n"/>
      <c r="W116" s="62" t="n"/>
      <c r="X116" s="47" t="n"/>
      <c r="Y116" s="62" t="n"/>
      <c r="Z116" s="47" t="n"/>
      <c r="AA116" s="47" t="n"/>
      <c r="AB116" s="62" t="n"/>
    </row>
    <row r="117" ht="15.75" customHeight="1">
      <c r="A117" s="47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61" t="n"/>
      <c r="K117" s="61" t="n"/>
      <c r="L117" s="61" t="n"/>
      <c r="M117" s="61" t="n"/>
      <c r="N117" s="61" t="n"/>
      <c r="O117" s="61" t="n"/>
      <c r="P117" s="61" t="n"/>
      <c r="Q117" s="61" t="n"/>
      <c r="R117" s="61" t="n"/>
      <c r="S117" s="48" t="n"/>
      <c r="T117" s="61" t="n"/>
      <c r="U117" s="62" t="n"/>
      <c r="V117" s="62" t="n"/>
      <c r="W117" s="62" t="n"/>
      <c r="X117" s="47" t="n"/>
      <c r="Y117" s="62" t="n"/>
      <c r="Z117" s="47" t="n"/>
      <c r="AA117" s="47" t="n"/>
      <c r="AB117" s="62" t="n"/>
    </row>
    <row r="118" ht="15.75" customHeight="1">
      <c r="A118" s="47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61" t="n"/>
      <c r="K118" s="61" t="n"/>
      <c r="L118" s="61" t="n"/>
      <c r="M118" s="61" t="n"/>
      <c r="N118" s="61" t="n"/>
      <c r="O118" s="61" t="n"/>
      <c r="P118" s="61" t="n"/>
      <c r="Q118" s="61" t="n"/>
      <c r="R118" s="61" t="n"/>
      <c r="S118" s="48" t="n"/>
      <c r="T118" s="61" t="n"/>
      <c r="U118" s="62" t="n"/>
      <c r="V118" s="62" t="n"/>
      <c r="W118" s="62" t="n"/>
      <c r="X118" s="47" t="n"/>
      <c r="Y118" s="62" t="n"/>
      <c r="Z118" s="47" t="n"/>
      <c r="AA118" s="47" t="n"/>
      <c r="AB118" s="62" t="n"/>
    </row>
    <row r="119" ht="15.75" customHeight="1">
      <c r="A119" s="47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61" t="n"/>
      <c r="K119" s="61" t="n"/>
      <c r="L119" s="61" t="n"/>
      <c r="M119" s="61" t="n"/>
      <c r="N119" s="61" t="n"/>
      <c r="O119" s="61" t="n"/>
      <c r="P119" s="61" t="n"/>
      <c r="Q119" s="61" t="n"/>
      <c r="R119" s="61" t="n"/>
      <c r="S119" s="48" t="n"/>
      <c r="T119" s="61" t="n"/>
      <c r="U119" s="62" t="n"/>
      <c r="V119" s="62" t="n"/>
      <c r="W119" s="62" t="n"/>
      <c r="X119" s="47" t="n"/>
      <c r="Y119" s="62" t="n"/>
      <c r="Z119" s="47" t="n"/>
      <c r="AA119" s="47" t="n"/>
      <c r="AB119" s="62" t="n"/>
    </row>
    <row r="120" ht="15.75" customHeight="1">
      <c r="A120" s="47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61" t="n"/>
      <c r="K120" s="61" t="n"/>
      <c r="L120" s="61" t="n"/>
      <c r="M120" s="61" t="n"/>
      <c r="N120" s="61" t="n"/>
      <c r="O120" s="61" t="n"/>
      <c r="P120" s="61" t="n"/>
      <c r="Q120" s="61" t="n"/>
      <c r="R120" s="61" t="n"/>
      <c r="S120" s="48" t="n"/>
      <c r="T120" s="61" t="n"/>
      <c r="U120" s="62" t="n"/>
      <c r="V120" s="62" t="n"/>
      <c r="W120" s="62" t="n"/>
      <c r="X120" s="47" t="n"/>
      <c r="Y120" s="62" t="n"/>
      <c r="Z120" s="47" t="n"/>
      <c r="AA120" s="47" t="n"/>
      <c r="AB120" s="62" t="n"/>
    </row>
    <row r="121" ht="15.75" customHeight="1">
      <c r="A121" s="47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61" t="n"/>
      <c r="K121" s="61" t="n"/>
      <c r="L121" s="61" t="n"/>
      <c r="M121" s="61" t="n"/>
      <c r="N121" s="61" t="n"/>
      <c r="O121" s="61" t="n"/>
      <c r="P121" s="61" t="n"/>
      <c r="Q121" s="61" t="n"/>
      <c r="R121" s="61" t="n"/>
      <c r="S121" s="48" t="n"/>
      <c r="T121" s="61" t="n"/>
      <c r="U121" s="62" t="n"/>
      <c r="V121" s="62" t="n"/>
      <c r="W121" s="62" t="n"/>
      <c r="X121" s="47" t="n"/>
      <c r="Y121" s="62" t="n"/>
      <c r="Z121" s="47" t="n"/>
      <c r="AA121" s="47" t="n"/>
      <c r="AB121" s="62" t="n"/>
    </row>
    <row r="122" ht="15.75" customHeight="1">
      <c r="A122" s="47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61" t="n"/>
      <c r="K122" s="61" t="n"/>
      <c r="L122" s="61" t="n"/>
      <c r="M122" s="61" t="n"/>
      <c r="N122" s="61" t="n"/>
      <c r="O122" s="61" t="n"/>
      <c r="P122" s="61" t="n"/>
      <c r="Q122" s="61" t="n"/>
      <c r="R122" s="61" t="n"/>
      <c r="S122" s="48" t="n"/>
      <c r="T122" s="61" t="n"/>
      <c r="U122" s="62" t="n"/>
      <c r="V122" s="62" t="n"/>
      <c r="W122" s="62" t="n"/>
      <c r="X122" s="47" t="n"/>
      <c r="Y122" s="62" t="n"/>
      <c r="Z122" s="47" t="n"/>
      <c r="AA122" s="47" t="n"/>
      <c r="AB122" s="62" t="n"/>
    </row>
    <row r="123" ht="15.75" customHeight="1">
      <c r="A123" s="47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61" t="n"/>
      <c r="K123" s="61" t="n"/>
      <c r="L123" s="61" t="n"/>
      <c r="M123" s="61" t="n"/>
      <c r="N123" s="61" t="n"/>
      <c r="O123" s="61" t="n"/>
      <c r="P123" s="61" t="n"/>
      <c r="Q123" s="61" t="n"/>
      <c r="R123" s="61" t="n"/>
      <c r="S123" s="48" t="n"/>
      <c r="T123" s="61" t="n"/>
      <c r="U123" s="62" t="n"/>
      <c r="V123" s="62" t="n"/>
      <c r="W123" s="62" t="n"/>
      <c r="X123" s="47" t="n"/>
      <c r="Y123" s="62" t="n"/>
      <c r="Z123" s="47" t="n"/>
      <c r="AA123" s="47" t="n"/>
      <c r="AB123" s="62" t="n"/>
    </row>
    <row r="124" ht="15.75" customHeight="1">
      <c r="A124" s="47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61" t="n"/>
      <c r="K124" s="61" t="n"/>
      <c r="L124" s="61" t="n"/>
      <c r="M124" s="61" t="n"/>
      <c r="N124" s="61" t="n"/>
      <c r="O124" s="61" t="n"/>
      <c r="P124" s="61" t="n"/>
      <c r="Q124" s="61" t="n"/>
      <c r="R124" s="61" t="n"/>
      <c r="S124" s="48" t="n"/>
      <c r="T124" s="61" t="n"/>
      <c r="U124" s="62" t="n"/>
      <c r="V124" s="62" t="n"/>
      <c r="W124" s="62" t="n"/>
      <c r="X124" s="47" t="n"/>
      <c r="Y124" s="62" t="n"/>
      <c r="Z124" s="47" t="n"/>
      <c r="AA124" s="47" t="n"/>
      <c r="AB124" s="62" t="n"/>
    </row>
    <row r="125" ht="15.75" customHeight="1">
      <c r="A125" s="47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61" t="n"/>
      <c r="K125" s="61" t="n"/>
      <c r="L125" s="61" t="n"/>
      <c r="M125" s="61" t="n"/>
      <c r="N125" s="61" t="n"/>
      <c r="O125" s="61" t="n"/>
      <c r="P125" s="61" t="n"/>
      <c r="Q125" s="61" t="n"/>
      <c r="R125" s="61" t="n"/>
      <c r="S125" s="48" t="n"/>
      <c r="T125" s="61" t="n"/>
      <c r="U125" s="62" t="n"/>
      <c r="V125" s="62" t="n"/>
      <c r="W125" s="62" t="n"/>
      <c r="X125" s="47" t="n"/>
      <c r="Y125" s="62" t="n"/>
      <c r="Z125" s="47" t="n"/>
      <c r="AA125" s="47" t="n"/>
      <c r="AB125" s="62" t="n"/>
    </row>
    <row r="126" ht="15.75" customHeight="1">
      <c r="A126" s="47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61" t="n"/>
      <c r="K126" s="61" t="n"/>
      <c r="L126" s="61" t="n"/>
      <c r="M126" s="61" t="n"/>
      <c r="N126" s="61" t="n"/>
      <c r="O126" s="61" t="n"/>
      <c r="P126" s="61" t="n"/>
      <c r="Q126" s="61" t="n"/>
      <c r="R126" s="61" t="n"/>
      <c r="S126" s="48" t="n"/>
      <c r="T126" s="61" t="n"/>
      <c r="U126" s="62" t="n"/>
      <c r="V126" s="62" t="n"/>
      <c r="W126" s="62" t="n"/>
      <c r="X126" s="47" t="n"/>
      <c r="Y126" s="62" t="n"/>
      <c r="Z126" s="47" t="n"/>
      <c r="AA126" s="47" t="n"/>
      <c r="AB126" s="62" t="n"/>
    </row>
    <row r="127" ht="15.75" customHeight="1">
      <c r="A127" s="47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61" t="n"/>
      <c r="K127" s="61" t="n"/>
      <c r="L127" s="61" t="n"/>
      <c r="M127" s="61" t="n"/>
      <c r="N127" s="61" t="n"/>
      <c r="O127" s="61" t="n"/>
      <c r="P127" s="61" t="n"/>
      <c r="Q127" s="61" t="n"/>
      <c r="R127" s="61" t="n"/>
      <c r="S127" s="48" t="n"/>
      <c r="T127" s="61" t="n"/>
      <c r="U127" s="62" t="n"/>
      <c r="V127" s="62" t="n"/>
      <c r="W127" s="62" t="n"/>
      <c r="X127" s="47" t="n"/>
      <c r="Y127" s="62" t="n"/>
      <c r="Z127" s="47" t="n"/>
      <c r="AA127" s="47" t="n"/>
      <c r="AB127" s="62" t="n"/>
    </row>
    <row r="128" ht="15.75" customHeight="1">
      <c r="A128" s="47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61" t="n"/>
      <c r="K128" s="61" t="n"/>
      <c r="L128" s="61" t="n"/>
      <c r="M128" s="61" t="n"/>
      <c r="N128" s="61" t="n"/>
      <c r="O128" s="61" t="n"/>
      <c r="P128" s="61" t="n"/>
      <c r="Q128" s="61" t="n"/>
      <c r="R128" s="61" t="n"/>
      <c r="S128" s="48" t="n"/>
      <c r="T128" s="61" t="n"/>
      <c r="U128" s="62" t="n"/>
      <c r="V128" s="62" t="n"/>
      <c r="W128" s="62" t="n"/>
      <c r="X128" s="47" t="n"/>
      <c r="Y128" s="62" t="n"/>
      <c r="Z128" s="47" t="n"/>
      <c r="AA128" s="47" t="n"/>
      <c r="AB128" s="62" t="n"/>
    </row>
    <row r="129" ht="15.75" customHeight="1">
      <c r="A129" s="47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61" t="n"/>
      <c r="K129" s="61" t="n"/>
      <c r="L129" s="61" t="n"/>
      <c r="M129" s="61" t="n"/>
      <c r="N129" s="61" t="n"/>
      <c r="O129" s="61" t="n"/>
      <c r="P129" s="61" t="n"/>
      <c r="Q129" s="61" t="n"/>
      <c r="R129" s="61" t="n"/>
      <c r="S129" s="48" t="n"/>
      <c r="T129" s="61" t="n"/>
      <c r="U129" s="62" t="n"/>
      <c r="V129" s="62" t="n"/>
      <c r="W129" s="62" t="n"/>
      <c r="X129" s="47" t="n"/>
      <c r="Y129" s="62" t="n"/>
      <c r="Z129" s="47" t="n"/>
      <c r="AA129" s="47" t="n"/>
      <c r="AB129" s="62" t="n"/>
    </row>
    <row r="130" ht="15.75" customHeight="1">
      <c r="A130" s="47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61" t="n"/>
      <c r="K130" s="61" t="n"/>
      <c r="L130" s="61" t="n"/>
      <c r="M130" s="61" t="n"/>
      <c r="N130" s="61" t="n"/>
      <c r="O130" s="61" t="n"/>
      <c r="P130" s="61" t="n"/>
      <c r="Q130" s="61" t="n"/>
      <c r="R130" s="61" t="n"/>
      <c r="S130" s="48" t="n"/>
      <c r="T130" s="61" t="n"/>
      <c r="U130" s="62" t="n"/>
      <c r="V130" s="62" t="n"/>
      <c r="W130" s="62" t="n"/>
      <c r="X130" s="47" t="n"/>
      <c r="Y130" s="62" t="n"/>
      <c r="Z130" s="47" t="n"/>
      <c r="AA130" s="47" t="n"/>
      <c r="AB130" s="62" t="n"/>
    </row>
    <row r="131" ht="15.75" customHeight="1">
      <c r="A131" s="47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61" t="n"/>
      <c r="K131" s="61" t="n"/>
      <c r="L131" s="61" t="n"/>
      <c r="M131" s="61" t="n"/>
      <c r="N131" s="61" t="n"/>
      <c r="O131" s="61" t="n"/>
      <c r="P131" s="61" t="n"/>
      <c r="Q131" s="61" t="n"/>
      <c r="R131" s="61" t="n"/>
      <c r="S131" s="48" t="n"/>
      <c r="T131" s="61" t="n"/>
      <c r="U131" s="62" t="n"/>
      <c r="V131" s="62" t="n"/>
      <c r="W131" s="62" t="n"/>
      <c r="X131" s="47" t="n"/>
      <c r="Y131" s="62" t="n"/>
      <c r="Z131" s="47" t="n"/>
      <c r="AA131" s="47" t="n"/>
      <c r="AB131" s="62" t="n"/>
    </row>
    <row r="132" ht="15.75" customHeight="1">
      <c r="A132" s="47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61" t="n"/>
      <c r="K132" s="61" t="n"/>
      <c r="L132" s="61" t="n"/>
      <c r="M132" s="61" t="n"/>
      <c r="N132" s="61" t="n"/>
      <c r="O132" s="61" t="n"/>
      <c r="P132" s="61" t="n"/>
      <c r="Q132" s="61" t="n"/>
      <c r="R132" s="61" t="n"/>
      <c r="S132" s="48" t="n"/>
      <c r="T132" s="61" t="n"/>
      <c r="U132" s="62" t="n"/>
      <c r="V132" s="62" t="n"/>
      <c r="W132" s="62" t="n"/>
      <c r="X132" s="47" t="n"/>
      <c r="Y132" s="62" t="n"/>
      <c r="Z132" s="47" t="n"/>
      <c r="AA132" s="47" t="n"/>
      <c r="AB132" s="62" t="n"/>
    </row>
    <row r="133" ht="15.75" customHeight="1">
      <c r="A133" s="47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61" t="n"/>
      <c r="K133" s="61" t="n"/>
      <c r="L133" s="61" t="n"/>
      <c r="M133" s="61" t="n"/>
      <c r="N133" s="61" t="n"/>
      <c r="O133" s="61" t="n"/>
      <c r="P133" s="61" t="n"/>
      <c r="Q133" s="61" t="n"/>
      <c r="R133" s="61" t="n"/>
      <c r="S133" s="48" t="n"/>
      <c r="T133" s="61" t="n"/>
      <c r="U133" s="62" t="n"/>
      <c r="V133" s="62" t="n"/>
      <c r="W133" s="62" t="n"/>
      <c r="X133" s="47" t="n"/>
      <c r="Y133" s="62" t="n"/>
      <c r="Z133" s="47" t="n"/>
      <c r="AA133" s="47" t="n"/>
      <c r="AB133" s="62" t="n"/>
    </row>
    <row r="134" ht="15.75" customHeight="1">
      <c r="A134" s="47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61" t="n"/>
      <c r="K134" s="61" t="n"/>
      <c r="L134" s="61" t="n"/>
      <c r="M134" s="61" t="n"/>
      <c r="N134" s="61" t="n"/>
      <c r="O134" s="61" t="n"/>
      <c r="P134" s="61" t="n"/>
      <c r="Q134" s="61" t="n"/>
      <c r="R134" s="61" t="n"/>
      <c r="S134" s="48" t="n"/>
      <c r="T134" s="61" t="n"/>
      <c r="U134" s="62" t="n"/>
      <c r="V134" s="62" t="n"/>
      <c r="W134" s="62" t="n"/>
      <c r="X134" s="47" t="n"/>
      <c r="Y134" s="62" t="n"/>
      <c r="Z134" s="47" t="n"/>
      <c r="AA134" s="47" t="n"/>
      <c r="AB134" s="62" t="n"/>
    </row>
    <row r="135" ht="15.75" customHeight="1">
      <c r="A135" s="47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61" t="n"/>
      <c r="K135" s="61" t="n"/>
      <c r="L135" s="61" t="n"/>
      <c r="M135" s="61" t="n"/>
      <c r="N135" s="61" t="n"/>
      <c r="O135" s="61" t="n"/>
      <c r="P135" s="61" t="n"/>
      <c r="Q135" s="61" t="n"/>
      <c r="R135" s="61" t="n"/>
      <c r="S135" s="48" t="n"/>
      <c r="T135" s="61" t="n"/>
      <c r="U135" s="62" t="n"/>
      <c r="V135" s="62" t="n"/>
      <c r="W135" s="62" t="n"/>
      <c r="X135" s="47" t="n"/>
      <c r="Y135" s="62" t="n"/>
      <c r="Z135" s="47" t="n"/>
      <c r="AA135" s="47" t="n"/>
      <c r="AB135" s="62" t="n"/>
    </row>
    <row r="136" ht="15.75" customHeight="1">
      <c r="A136" s="47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61" t="n"/>
      <c r="K136" s="61" t="n"/>
      <c r="L136" s="61" t="n"/>
      <c r="M136" s="61" t="n"/>
      <c r="N136" s="61" t="n"/>
      <c r="O136" s="61" t="n"/>
      <c r="P136" s="61" t="n"/>
      <c r="Q136" s="61" t="n"/>
      <c r="R136" s="61" t="n"/>
      <c r="S136" s="48" t="n"/>
      <c r="T136" s="61" t="n"/>
      <c r="U136" s="62" t="n"/>
      <c r="V136" s="62" t="n"/>
      <c r="W136" s="62" t="n"/>
      <c r="X136" s="47" t="n"/>
      <c r="Y136" s="62" t="n"/>
      <c r="Z136" s="47" t="n"/>
      <c r="AA136" s="47" t="n"/>
      <c r="AB136" s="62" t="n"/>
    </row>
    <row r="137" ht="15.75" customHeight="1">
      <c r="A137" s="47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61" t="n"/>
      <c r="K137" s="61" t="n"/>
      <c r="L137" s="61" t="n"/>
      <c r="M137" s="61" t="n"/>
      <c r="N137" s="61" t="n"/>
      <c r="O137" s="61" t="n"/>
      <c r="P137" s="61" t="n"/>
      <c r="Q137" s="61" t="n"/>
      <c r="R137" s="61" t="n"/>
      <c r="S137" s="48" t="n"/>
      <c r="T137" s="61" t="n"/>
      <c r="U137" s="62" t="n"/>
      <c r="V137" s="62" t="n"/>
      <c r="W137" s="62" t="n"/>
      <c r="X137" s="47" t="n"/>
      <c r="Y137" s="62" t="n"/>
      <c r="Z137" s="47" t="n"/>
      <c r="AA137" s="47" t="n"/>
      <c r="AB137" s="62" t="n"/>
    </row>
    <row r="138" ht="15.75" customHeight="1">
      <c r="A138" s="47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61" t="n"/>
      <c r="K138" s="61" t="n"/>
      <c r="L138" s="61" t="n"/>
      <c r="M138" s="61" t="n"/>
      <c r="N138" s="61" t="n"/>
      <c r="O138" s="61" t="n"/>
      <c r="P138" s="61" t="n"/>
      <c r="Q138" s="61" t="n"/>
      <c r="R138" s="61" t="n"/>
      <c r="S138" s="48" t="n"/>
      <c r="T138" s="61" t="n"/>
      <c r="U138" s="62" t="n"/>
      <c r="V138" s="62" t="n"/>
      <c r="W138" s="62" t="n"/>
      <c r="X138" s="47" t="n"/>
      <c r="Y138" s="62" t="n"/>
      <c r="Z138" s="47" t="n"/>
      <c r="AA138" s="47" t="n"/>
      <c r="AB138" s="62" t="n"/>
    </row>
    <row r="139" ht="15.75" customHeight="1">
      <c r="A139" s="47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61" t="n"/>
      <c r="K139" s="61" t="n"/>
      <c r="L139" s="61" t="n"/>
      <c r="M139" s="61" t="n"/>
      <c r="N139" s="61" t="n"/>
      <c r="O139" s="61" t="n"/>
      <c r="P139" s="61" t="n"/>
      <c r="Q139" s="61" t="n"/>
      <c r="R139" s="61" t="n"/>
      <c r="S139" s="48" t="n"/>
      <c r="T139" s="61" t="n"/>
      <c r="U139" s="62" t="n"/>
      <c r="V139" s="62" t="n"/>
      <c r="W139" s="62" t="n"/>
      <c r="X139" s="47" t="n"/>
      <c r="Y139" s="62" t="n"/>
      <c r="Z139" s="47" t="n"/>
      <c r="AA139" s="47" t="n"/>
      <c r="AB139" s="62" t="n"/>
    </row>
    <row r="140" ht="15.75" customHeight="1">
      <c r="A140" s="47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61" t="n"/>
      <c r="K140" s="61" t="n"/>
      <c r="L140" s="61" t="n"/>
      <c r="M140" s="61" t="n"/>
      <c r="N140" s="61" t="n"/>
      <c r="O140" s="61" t="n"/>
      <c r="P140" s="61" t="n"/>
      <c r="Q140" s="61" t="n"/>
      <c r="R140" s="61" t="n"/>
      <c r="S140" s="48" t="n"/>
      <c r="T140" s="61" t="n"/>
      <c r="U140" s="62" t="n"/>
      <c r="V140" s="62" t="n"/>
      <c r="W140" s="62" t="n"/>
      <c r="X140" s="47" t="n"/>
      <c r="Y140" s="62" t="n"/>
      <c r="Z140" s="47" t="n"/>
      <c r="AA140" s="47" t="n"/>
      <c r="AB140" s="62" t="n"/>
    </row>
    <row r="141" ht="15.75" customHeight="1">
      <c r="A141" s="47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61" t="n"/>
      <c r="K141" s="61" t="n"/>
      <c r="L141" s="61" t="n"/>
      <c r="M141" s="61" t="n"/>
      <c r="N141" s="61" t="n"/>
      <c r="O141" s="61" t="n"/>
      <c r="P141" s="61" t="n"/>
      <c r="Q141" s="61" t="n"/>
      <c r="R141" s="61" t="n"/>
      <c r="S141" s="48" t="n"/>
      <c r="T141" s="61" t="n"/>
      <c r="U141" s="62" t="n"/>
      <c r="V141" s="62" t="n"/>
      <c r="W141" s="62" t="n"/>
      <c r="X141" s="47" t="n"/>
      <c r="Y141" s="62" t="n"/>
      <c r="Z141" s="47" t="n"/>
      <c r="AA141" s="47" t="n"/>
      <c r="AB141" s="62" t="n"/>
    </row>
    <row r="142" ht="15.75" customHeight="1">
      <c r="A142" s="47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61" t="n"/>
      <c r="K142" s="61" t="n"/>
      <c r="L142" s="61" t="n"/>
      <c r="M142" s="61" t="n"/>
      <c r="N142" s="61" t="n"/>
      <c r="O142" s="61" t="n"/>
      <c r="P142" s="61" t="n"/>
      <c r="Q142" s="61" t="n"/>
      <c r="R142" s="61" t="n"/>
      <c r="S142" s="48" t="n"/>
      <c r="T142" s="61" t="n"/>
      <c r="U142" s="62" t="n"/>
      <c r="V142" s="62" t="n"/>
      <c r="W142" s="62" t="n"/>
      <c r="X142" s="47" t="n"/>
      <c r="Y142" s="62" t="n"/>
      <c r="Z142" s="47" t="n"/>
      <c r="AA142" s="47" t="n"/>
      <c r="AB142" s="62" t="n"/>
    </row>
    <row r="143" ht="15.75" customHeight="1">
      <c r="A143" s="47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61" t="n"/>
      <c r="K143" s="61" t="n"/>
      <c r="L143" s="61" t="n"/>
      <c r="M143" s="61" t="n"/>
      <c r="N143" s="61" t="n"/>
      <c r="O143" s="61" t="n"/>
      <c r="P143" s="61" t="n"/>
      <c r="Q143" s="61" t="n"/>
      <c r="R143" s="61" t="n"/>
      <c r="S143" s="48" t="n"/>
      <c r="T143" s="61" t="n"/>
      <c r="U143" s="62" t="n"/>
      <c r="V143" s="62" t="n"/>
      <c r="W143" s="62" t="n"/>
      <c r="X143" s="47" t="n"/>
      <c r="Y143" s="62" t="n"/>
      <c r="Z143" s="47" t="n"/>
      <c r="AA143" s="47" t="n"/>
      <c r="AB143" s="62" t="n"/>
    </row>
    <row r="144" ht="15.75" customHeight="1">
      <c r="A144" s="47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61" t="n"/>
      <c r="K144" s="61" t="n"/>
      <c r="L144" s="61" t="n"/>
      <c r="M144" s="61" t="n"/>
      <c r="N144" s="61" t="n"/>
      <c r="O144" s="61" t="n"/>
      <c r="P144" s="61" t="n"/>
      <c r="Q144" s="61" t="n"/>
      <c r="R144" s="61" t="n"/>
      <c r="S144" s="48" t="n"/>
      <c r="T144" s="61" t="n"/>
      <c r="U144" s="62" t="n"/>
      <c r="V144" s="62" t="n"/>
      <c r="W144" s="62" t="n"/>
      <c r="X144" s="47" t="n"/>
      <c r="Y144" s="62" t="n"/>
      <c r="Z144" s="47" t="n"/>
      <c r="AA144" s="47" t="n"/>
      <c r="AB144" s="62" t="n"/>
    </row>
    <row r="145" ht="15.75" customHeight="1">
      <c r="A145" s="47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61" t="n"/>
      <c r="K145" s="61" t="n"/>
      <c r="L145" s="61" t="n"/>
      <c r="M145" s="61" t="n"/>
      <c r="N145" s="61" t="n"/>
      <c r="O145" s="61" t="n"/>
      <c r="P145" s="61" t="n"/>
      <c r="Q145" s="61" t="n"/>
      <c r="R145" s="61" t="n"/>
      <c r="S145" s="48" t="n"/>
      <c r="T145" s="61" t="n"/>
      <c r="U145" s="62" t="n"/>
      <c r="V145" s="62" t="n"/>
      <c r="W145" s="62" t="n"/>
      <c r="X145" s="47" t="n"/>
      <c r="Y145" s="62" t="n"/>
      <c r="Z145" s="47" t="n"/>
      <c r="AA145" s="47" t="n"/>
      <c r="AB145" s="62" t="n"/>
    </row>
    <row r="146" ht="15.75" customHeight="1">
      <c r="A146" s="47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61" t="n"/>
      <c r="K146" s="61" t="n"/>
      <c r="L146" s="61" t="n"/>
      <c r="M146" s="61" t="n"/>
      <c r="N146" s="61" t="n"/>
      <c r="O146" s="61" t="n"/>
      <c r="P146" s="61" t="n"/>
      <c r="Q146" s="61" t="n"/>
      <c r="R146" s="61" t="n"/>
      <c r="S146" s="48" t="n"/>
      <c r="T146" s="61" t="n"/>
      <c r="U146" s="62" t="n"/>
      <c r="V146" s="62" t="n"/>
      <c r="W146" s="62" t="n"/>
      <c r="X146" s="47" t="n"/>
      <c r="Y146" s="62" t="n"/>
      <c r="Z146" s="47" t="n"/>
      <c r="AA146" s="47" t="n"/>
      <c r="AB146" s="62" t="n"/>
    </row>
    <row r="147" ht="15.75" customHeight="1">
      <c r="A147" s="47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61" t="n"/>
      <c r="K147" s="61" t="n"/>
      <c r="L147" s="61" t="n"/>
      <c r="M147" s="61" t="n"/>
      <c r="N147" s="61" t="n"/>
      <c r="O147" s="61" t="n"/>
      <c r="P147" s="61" t="n"/>
      <c r="Q147" s="61" t="n"/>
      <c r="R147" s="61" t="n"/>
      <c r="S147" s="48" t="n"/>
      <c r="T147" s="61" t="n"/>
      <c r="U147" s="62" t="n"/>
      <c r="V147" s="62" t="n"/>
      <c r="W147" s="62" t="n"/>
      <c r="X147" s="47" t="n"/>
      <c r="Y147" s="62" t="n"/>
      <c r="Z147" s="47" t="n"/>
      <c r="AA147" s="47" t="n"/>
      <c r="AB147" s="62" t="n"/>
    </row>
    <row r="148" ht="15.75" customHeight="1">
      <c r="A148" s="47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61" t="n"/>
      <c r="K148" s="61" t="n"/>
      <c r="L148" s="61" t="n"/>
      <c r="M148" s="61" t="n"/>
      <c r="N148" s="61" t="n"/>
      <c r="O148" s="61" t="n"/>
      <c r="P148" s="61" t="n"/>
      <c r="Q148" s="61" t="n"/>
      <c r="R148" s="61" t="n"/>
      <c r="S148" s="48" t="n"/>
      <c r="T148" s="61" t="n"/>
      <c r="U148" s="62" t="n"/>
      <c r="V148" s="62" t="n"/>
      <c r="W148" s="62" t="n"/>
      <c r="X148" s="47" t="n"/>
      <c r="Y148" s="62" t="n"/>
      <c r="Z148" s="47" t="n"/>
      <c r="AA148" s="47" t="n"/>
      <c r="AB148" s="62" t="n"/>
    </row>
    <row r="149" ht="15.75" customHeight="1">
      <c r="A149" s="47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61" t="n"/>
      <c r="K149" s="61" t="n"/>
      <c r="L149" s="61" t="n"/>
      <c r="M149" s="61" t="n"/>
      <c r="N149" s="61" t="n"/>
      <c r="O149" s="61" t="n"/>
      <c r="P149" s="61" t="n"/>
      <c r="Q149" s="61" t="n"/>
      <c r="R149" s="61" t="n"/>
      <c r="S149" s="48" t="n"/>
      <c r="T149" s="61" t="n"/>
      <c r="U149" s="62" t="n"/>
      <c r="V149" s="62" t="n"/>
      <c r="W149" s="62" t="n"/>
      <c r="X149" s="47" t="n"/>
      <c r="Y149" s="62" t="n"/>
      <c r="Z149" s="47" t="n"/>
      <c r="AA149" s="47" t="n"/>
      <c r="AB149" s="62" t="n"/>
    </row>
    <row r="150" ht="15.75" customHeight="1">
      <c r="A150" s="47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61" t="n"/>
      <c r="K150" s="61" t="n"/>
      <c r="L150" s="61" t="n"/>
      <c r="M150" s="61" t="n"/>
      <c r="N150" s="61" t="n"/>
      <c r="O150" s="61" t="n"/>
      <c r="P150" s="61" t="n"/>
      <c r="Q150" s="61" t="n"/>
      <c r="R150" s="61" t="n"/>
      <c r="S150" s="48" t="n"/>
      <c r="T150" s="61" t="n"/>
      <c r="U150" s="62" t="n"/>
      <c r="V150" s="62" t="n"/>
      <c r="W150" s="62" t="n"/>
      <c r="X150" s="47" t="n"/>
      <c r="Y150" s="62" t="n"/>
      <c r="Z150" s="47" t="n"/>
      <c r="AA150" s="47" t="n"/>
      <c r="AB150" s="62" t="n"/>
    </row>
    <row r="151" ht="15.75" customHeight="1">
      <c r="A151" s="47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61" t="n"/>
      <c r="K151" s="61" t="n"/>
      <c r="L151" s="61" t="n"/>
      <c r="M151" s="61" t="n"/>
      <c r="N151" s="61" t="n"/>
      <c r="O151" s="61" t="n"/>
      <c r="P151" s="61" t="n"/>
      <c r="Q151" s="61" t="n"/>
      <c r="R151" s="61" t="n"/>
      <c r="S151" s="48" t="n"/>
      <c r="T151" s="61" t="n"/>
      <c r="U151" s="62" t="n"/>
      <c r="V151" s="62" t="n"/>
      <c r="W151" s="62" t="n"/>
      <c r="X151" s="47" t="n"/>
      <c r="Y151" s="62" t="n"/>
      <c r="Z151" s="47" t="n"/>
      <c r="AA151" s="47" t="n"/>
      <c r="AB151" s="62" t="n"/>
    </row>
    <row r="152" ht="15.75" customHeight="1">
      <c r="A152" s="47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61" t="n"/>
      <c r="K152" s="61" t="n"/>
      <c r="L152" s="61" t="n"/>
      <c r="M152" s="61" t="n"/>
      <c r="N152" s="61" t="n"/>
      <c r="O152" s="61" t="n"/>
      <c r="P152" s="61" t="n"/>
      <c r="Q152" s="61" t="n"/>
      <c r="R152" s="61" t="n"/>
      <c r="S152" s="48" t="n"/>
      <c r="T152" s="61" t="n"/>
      <c r="U152" s="62" t="n"/>
      <c r="V152" s="62" t="n"/>
      <c r="W152" s="62" t="n"/>
      <c r="X152" s="47" t="n"/>
      <c r="Y152" s="62" t="n"/>
      <c r="Z152" s="47" t="n"/>
      <c r="AA152" s="47" t="n"/>
      <c r="AB152" s="62" t="n"/>
    </row>
    <row r="153" ht="15.75" customHeight="1">
      <c r="A153" s="47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61" t="n"/>
      <c r="K153" s="61" t="n"/>
      <c r="L153" s="61" t="n"/>
      <c r="M153" s="61" t="n"/>
      <c r="N153" s="61" t="n"/>
      <c r="O153" s="61" t="n"/>
      <c r="P153" s="61" t="n"/>
      <c r="Q153" s="61" t="n"/>
      <c r="R153" s="61" t="n"/>
      <c r="S153" s="48" t="n"/>
      <c r="T153" s="61" t="n"/>
      <c r="U153" s="62" t="n"/>
      <c r="V153" s="62" t="n"/>
      <c r="W153" s="62" t="n"/>
      <c r="X153" s="47" t="n"/>
      <c r="Y153" s="62" t="n"/>
      <c r="Z153" s="47" t="n"/>
      <c r="AA153" s="47" t="n"/>
      <c r="AB153" s="62" t="n"/>
    </row>
    <row r="154" ht="15.75" customHeight="1">
      <c r="A154" s="47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61" t="n"/>
      <c r="K154" s="61" t="n"/>
      <c r="L154" s="61" t="n"/>
      <c r="M154" s="61" t="n"/>
      <c r="N154" s="61" t="n"/>
      <c r="O154" s="61" t="n"/>
      <c r="P154" s="61" t="n"/>
      <c r="Q154" s="61" t="n"/>
      <c r="R154" s="61" t="n"/>
      <c r="S154" s="48" t="n"/>
      <c r="T154" s="61" t="n"/>
      <c r="U154" s="62" t="n"/>
      <c r="V154" s="62" t="n"/>
      <c r="W154" s="62" t="n"/>
      <c r="X154" s="47" t="n"/>
      <c r="Y154" s="62" t="n"/>
      <c r="Z154" s="47" t="n"/>
      <c r="AA154" s="47" t="n"/>
      <c r="AB154" s="62" t="n"/>
    </row>
    <row r="155" ht="15.75" customHeight="1">
      <c r="A155" s="47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61" t="n"/>
      <c r="K155" s="61" t="n"/>
      <c r="L155" s="61" t="n"/>
      <c r="M155" s="61" t="n"/>
      <c r="N155" s="61" t="n"/>
      <c r="O155" s="61" t="n"/>
      <c r="P155" s="61" t="n"/>
      <c r="Q155" s="61" t="n"/>
      <c r="R155" s="61" t="n"/>
      <c r="S155" s="48" t="n"/>
      <c r="T155" s="61" t="n"/>
      <c r="U155" s="62" t="n"/>
      <c r="V155" s="62" t="n"/>
      <c r="W155" s="62" t="n"/>
      <c r="X155" s="47" t="n"/>
      <c r="Y155" s="62" t="n"/>
      <c r="Z155" s="47" t="n"/>
      <c r="AA155" s="47" t="n"/>
      <c r="AB155" s="62" t="n"/>
    </row>
    <row r="156" ht="15.75" customHeight="1">
      <c r="A156" s="47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61" t="n"/>
      <c r="K156" s="61" t="n"/>
      <c r="L156" s="61" t="n"/>
      <c r="M156" s="61" t="n"/>
      <c r="N156" s="61" t="n"/>
      <c r="O156" s="61" t="n"/>
      <c r="P156" s="61" t="n"/>
      <c r="Q156" s="61" t="n"/>
      <c r="R156" s="61" t="n"/>
      <c r="S156" s="48" t="n"/>
      <c r="T156" s="61" t="n"/>
      <c r="U156" s="62" t="n"/>
      <c r="V156" s="62" t="n"/>
      <c r="W156" s="62" t="n"/>
      <c r="X156" s="47" t="n"/>
      <c r="Y156" s="62" t="n"/>
      <c r="Z156" s="47" t="n"/>
      <c r="AA156" s="47" t="n"/>
      <c r="AB156" s="62" t="n"/>
    </row>
    <row r="157" ht="15.75" customHeight="1">
      <c r="A157" s="47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61" t="n"/>
      <c r="K157" s="61" t="n"/>
      <c r="L157" s="61" t="n"/>
      <c r="M157" s="61" t="n"/>
      <c r="N157" s="61" t="n"/>
      <c r="O157" s="61" t="n"/>
      <c r="P157" s="61" t="n"/>
      <c r="Q157" s="61" t="n"/>
      <c r="R157" s="61" t="n"/>
      <c r="S157" s="48" t="n"/>
      <c r="T157" s="61" t="n"/>
      <c r="U157" s="62" t="n"/>
      <c r="V157" s="62" t="n"/>
      <c r="W157" s="62" t="n"/>
      <c r="X157" s="47" t="n"/>
      <c r="Y157" s="62" t="n"/>
      <c r="Z157" s="47" t="n"/>
      <c r="AA157" s="47" t="n"/>
      <c r="AB157" s="62" t="n"/>
    </row>
    <row r="158" ht="15.75" customHeight="1">
      <c r="A158" s="47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61" t="n"/>
      <c r="K158" s="61" t="n"/>
      <c r="L158" s="61" t="n"/>
      <c r="M158" s="61" t="n"/>
      <c r="N158" s="61" t="n"/>
      <c r="O158" s="61" t="n"/>
      <c r="P158" s="61" t="n"/>
      <c r="Q158" s="61" t="n"/>
      <c r="R158" s="61" t="n"/>
      <c r="S158" s="48" t="n"/>
      <c r="T158" s="61" t="n"/>
      <c r="U158" s="62" t="n"/>
      <c r="V158" s="62" t="n"/>
      <c r="W158" s="62" t="n"/>
      <c r="X158" s="47" t="n"/>
      <c r="Y158" s="62" t="n"/>
      <c r="Z158" s="47" t="n"/>
      <c r="AA158" s="47" t="n"/>
      <c r="AB158" s="62" t="n"/>
    </row>
    <row r="159" ht="15.75" customHeight="1">
      <c r="A159" s="47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61" t="n"/>
      <c r="K159" s="61" t="n"/>
      <c r="L159" s="61" t="n"/>
      <c r="M159" s="61" t="n"/>
      <c r="N159" s="61" t="n"/>
      <c r="O159" s="61" t="n"/>
      <c r="P159" s="61" t="n"/>
      <c r="Q159" s="61" t="n"/>
      <c r="R159" s="61" t="n"/>
      <c r="S159" s="48" t="n"/>
      <c r="T159" s="61" t="n"/>
      <c r="U159" s="62" t="n"/>
      <c r="V159" s="62" t="n"/>
      <c r="W159" s="62" t="n"/>
      <c r="X159" s="47" t="n"/>
      <c r="Y159" s="62" t="n"/>
      <c r="Z159" s="47" t="n"/>
      <c r="AA159" s="47" t="n"/>
      <c r="AB159" s="62" t="n"/>
    </row>
    <row r="160" ht="15.75" customHeight="1">
      <c r="A160" s="47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61" t="n"/>
      <c r="K160" s="61" t="n"/>
      <c r="L160" s="61" t="n"/>
      <c r="M160" s="61" t="n"/>
      <c r="N160" s="61" t="n"/>
      <c r="O160" s="61" t="n"/>
      <c r="P160" s="61" t="n"/>
      <c r="Q160" s="61" t="n"/>
      <c r="R160" s="61" t="n"/>
      <c r="S160" s="48" t="n"/>
      <c r="T160" s="61" t="n"/>
      <c r="U160" s="62" t="n"/>
      <c r="V160" s="62" t="n"/>
      <c r="W160" s="62" t="n"/>
      <c r="X160" s="47" t="n"/>
      <c r="Y160" s="62" t="n"/>
      <c r="Z160" s="47" t="n"/>
      <c r="AA160" s="47" t="n"/>
      <c r="AB160" s="62" t="n"/>
    </row>
    <row r="161" ht="15.75" customHeight="1">
      <c r="A161" s="47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61" t="n"/>
      <c r="K161" s="61" t="n"/>
      <c r="L161" s="61" t="n"/>
      <c r="M161" s="61" t="n"/>
      <c r="N161" s="61" t="n"/>
      <c r="O161" s="61" t="n"/>
      <c r="P161" s="61" t="n"/>
      <c r="Q161" s="61" t="n"/>
      <c r="R161" s="61" t="n"/>
      <c r="S161" s="48" t="n"/>
      <c r="T161" s="61" t="n"/>
      <c r="U161" s="62" t="n"/>
      <c r="V161" s="62" t="n"/>
      <c r="W161" s="62" t="n"/>
      <c r="X161" s="47" t="n"/>
      <c r="Y161" s="62" t="n"/>
      <c r="Z161" s="47" t="n"/>
      <c r="AA161" s="47" t="n"/>
      <c r="AB161" s="62" t="n"/>
    </row>
    <row r="162" ht="15.75" customHeight="1">
      <c r="A162" s="47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61" t="n"/>
      <c r="K162" s="61" t="n"/>
      <c r="L162" s="61" t="n"/>
      <c r="M162" s="61" t="n"/>
      <c r="N162" s="61" t="n"/>
      <c r="O162" s="61" t="n"/>
      <c r="P162" s="61" t="n"/>
      <c r="Q162" s="61" t="n"/>
      <c r="R162" s="61" t="n"/>
      <c r="S162" s="48" t="n"/>
      <c r="T162" s="61" t="n"/>
      <c r="U162" s="62" t="n"/>
      <c r="V162" s="62" t="n"/>
      <c r="W162" s="62" t="n"/>
      <c r="X162" s="47" t="n"/>
      <c r="Y162" s="62" t="n"/>
      <c r="Z162" s="47" t="n"/>
      <c r="AA162" s="47" t="n"/>
      <c r="AB162" s="62" t="n"/>
    </row>
    <row r="163" ht="15.75" customHeight="1">
      <c r="A163" s="47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61" t="n"/>
      <c r="K163" s="61" t="n"/>
      <c r="L163" s="61" t="n"/>
      <c r="M163" s="61" t="n"/>
      <c r="N163" s="61" t="n"/>
      <c r="O163" s="61" t="n"/>
      <c r="P163" s="61" t="n"/>
      <c r="Q163" s="61" t="n"/>
      <c r="R163" s="61" t="n"/>
      <c r="S163" s="48" t="n"/>
      <c r="T163" s="61" t="n"/>
      <c r="U163" s="62" t="n"/>
      <c r="V163" s="62" t="n"/>
      <c r="W163" s="62" t="n"/>
      <c r="X163" s="47" t="n"/>
      <c r="Y163" s="62" t="n"/>
      <c r="Z163" s="47" t="n"/>
      <c r="AA163" s="47" t="n"/>
      <c r="AB163" s="62" t="n"/>
    </row>
    <row r="164" ht="15.75" customHeight="1">
      <c r="A164" s="47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61" t="n"/>
      <c r="K164" s="61" t="n"/>
      <c r="L164" s="61" t="n"/>
      <c r="M164" s="61" t="n"/>
      <c r="N164" s="61" t="n"/>
      <c r="O164" s="61" t="n"/>
      <c r="P164" s="61" t="n"/>
      <c r="Q164" s="61" t="n"/>
      <c r="R164" s="61" t="n"/>
      <c r="S164" s="48" t="n"/>
      <c r="T164" s="61" t="n"/>
      <c r="U164" s="62" t="n"/>
      <c r="V164" s="62" t="n"/>
      <c r="W164" s="62" t="n"/>
      <c r="X164" s="47" t="n"/>
      <c r="Y164" s="62" t="n"/>
      <c r="Z164" s="47" t="n"/>
      <c r="AA164" s="47" t="n"/>
      <c r="AB164" s="62" t="n"/>
    </row>
    <row r="165" ht="15.75" customHeight="1">
      <c r="A165" s="47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61" t="n"/>
      <c r="K165" s="61" t="n"/>
      <c r="L165" s="61" t="n"/>
      <c r="M165" s="61" t="n"/>
      <c r="N165" s="61" t="n"/>
      <c r="O165" s="61" t="n"/>
      <c r="P165" s="61" t="n"/>
      <c r="Q165" s="61" t="n"/>
      <c r="R165" s="61" t="n"/>
      <c r="S165" s="48" t="n"/>
      <c r="T165" s="61" t="n"/>
      <c r="U165" s="62" t="n"/>
      <c r="V165" s="62" t="n"/>
      <c r="W165" s="62" t="n"/>
      <c r="X165" s="47" t="n"/>
      <c r="Y165" s="62" t="n"/>
      <c r="Z165" s="47" t="n"/>
      <c r="AA165" s="47" t="n"/>
      <c r="AB165" s="62" t="n"/>
    </row>
    <row r="166" ht="15.75" customHeight="1">
      <c r="A166" s="47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61" t="n"/>
      <c r="K166" s="61" t="n"/>
      <c r="L166" s="61" t="n"/>
      <c r="M166" s="61" t="n"/>
      <c r="N166" s="61" t="n"/>
      <c r="O166" s="61" t="n"/>
      <c r="P166" s="61" t="n"/>
      <c r="Q166" s="61" t="n"/>
      <c r="R166" s="61" t="n"/>
      <c r="S166" s="48" t="n"/>
      <c r="T166" s="61" t="n"/>
      <c r="U166" s="62" t="n"/>
      <c r="V166" s="62" t="n"/>
      <c r="W166" s="62" t="n"/>
      <c r="X166" s="47" t="n"/>
      <c r="Y166" s="62" t="n"/>
      <c r="Z166" s="47" t="n"/>
      <c r="AA166" s="47" t="n"/>
      <c r="AB166" s="62" t="n"/>
    </row>
    <row r="167" ht="15.75" customHeight="1">
      <c r="A167" s="47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61" t="n"/>
      <c r="K167" s="61" t="n"/>
      <c r="L167" s="61" t="n"/>
      <c r="M167" s="61" t="n"/>
      <c r="N167" s="61" t="n"/>
      <c r="O167" s="61" t="n"/>
      <c r="P167" s="61" t="n"/>
      <c r="Q167" s="61" t="n"/>
      <c r="R167" s="61" t="n"/>
      <c r="S167" s="48" t="n"/>
      <c r="T167" s="61" t="n"/>
      <c r="U167" s="62" t="n"/>
      <c r="V167" s="62" t="n"/>
      <c r="W167" s="62" t="n"/>
      <c r="X167" s="47" t="n"/>
      <c r="Y167" s="62" t="n"/>
      <c r="Z167" s="47" t="n"/>
      <c r="AA167" s="47" t="n"/>
      <c r="AB167" s="62" t="n"/>
    </row>
    <row r="168" ht="15.75" customHeight="1">
      <c r="A168" s="47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61" t="n"/>
      <c r="K168" s="61" t="n"/>
      <c r="L168" s="61" t="n"/>
      <c r="M168" s="61" t="n"/>
      <c r="N168" s="61" t="n"/>
      <c r="O168" s="61" t="n"/>
      <c r="P168" s="61" t="n"/>
      <c r="Q168" s="61" t="n"/>
      <c r="R168" s="61" t="n"/>
      <c r="S168" s="48" t="n"/>
      <c r="T168" s="61" t="n"/>
      <c r="U168" s="62" t="n"/>
      <c r="V168" s="62" t="n"/>
      <c r="W168" s="62" t="n"/>
      <c r="X168" s="47" t="n"/>
      <c r="Y168" s="62" t="n"/>
      <c r="Z168" s="47" t="n"/>
      <c r="AA168" s="47" t="n"/>
      <c r="AB168" s="62" t="n"/>
    </row>
    <row r="169" ht="15.75" customHeight="1">
      <c r="A169" s="47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61" t="n"/>
      <c r="K169" s="61" t="n"/>
      <c r="L169" s="61" t="n"/>
      <c r="M169" s="61" t="n"/>
      <c r="N169" s="61" t="n"/>
      <c r="O169" s="61" t="n"/>
      <c r="P169" s="61" t="n"/>
      <c r="Q169" s="61" t="n"/>
      <c r="R169" s="61" t="n"/>
      <c r="S169" s="48" t="n"/>
      <c r="T169" s="61" t="n"/>
      <c r="U169" s="62" t="n"/>
      <c r="V169" s="62" t="n"/>
      <c r="W169" s="62" t="n"/>
      <c r="X169" s="47" t="n"/>
      <c r="Y169" s="62" t="n"/>
      <c r="Z169" s="47" t="n"/>
      <c r="AA169" s="47" t="n"/>
      <c r="AB169" s="62" t="n"/>
    </row>
    <row r="170" ht="15.75" customHeight="1">
      <c r="A170" s="47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61" t="n"/>
      <c r="K170" s="61" t="n"/>
      <c r="L170" s="61" t="n"/>
      <c r="M170" s="61" t="n"/>
      <c r="N170" s="61" t="n"/>
      <c r="O170" s="61" t="n"/>
      <c r="P170" s="61" t="n"/>
      <c r="Q170" s="61" t="n"/>
      <c r="R170" s="61" t="n"/>
      <c r="S170" s="48" t="n"/>
      <c r="T170" s="61" t="n"/>
      <c r="U170" s="62" t="n"/>
      <c r="V170" s="62" t="n"/>
      <c r="W170" s="62" t="n"/>
      <c r="X170" s="47" t="n"/>
      <c r="Y170" s="62" t="n"/>
      <c r="Z170" s="47" t="n"/>
      <c r="AA170" s="47" t="n"/>
      <c r="AB170" s="62" t="n"/>
    </row>
    <row r="171" ht="15.75" customHeight="1">
      <c r="A171" s="47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61" t="n"/>
      <c r="K171" s="61" t="n"/>
      <c r="L171" s="61" t="n"/>
      <c r="M171" s="61" t="n"/>
      <c r="N171" s="61" t="n"/>
      <c r="O171" s="61" t="n"/>
      <c r="P171" s="61" t="n"/>
      <c r="Q171" s="61" t="n"/>
      <c r="R171" s="61" t="n"/>
      <c r="S171" s="48" t="n"/>
      <c r="T171" s="61" t="n"/>
      <c r="U171" s="62" t="n"/>
      <c r="V171" s="62" t="n"/>
      <c r="W171" s="62" t="n"/>
      <c r="X171" s="47" t="n"/>
      <c r="Y171" s="62" t="n"/>
      <c r="Z171" s="47" t="n"/>
      <c r="AA171" s="47" t="n"/>
      <c r="AB171" s="62" t="n"/>
    </row>
    <row r="172" ht="15.75" customHeight="1">
      <c r="A172" s="47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61" t="n"/>
      <c r="K172" s="61" t="n"/>
      <c r="L172" s="61" t="n"/>
      <c r="M172" s="61" t="n"/>
      <c r="N172" s="61" t="n"/>
      <c r="O172" s="61" t="n"/>
      <c r="P172" s="61" t="n"/>
      <c r="Q172" s="61" t="n"/>
      <c r="R172" s="61" t="n"/>
      <c r="S172" s="48" t="n"/>
      <c r="T172" s="61" t="n"/>
      <c r="U172" s="62" t="n"/>
      <c r="V172" s="62" t="n"/>
      <c r="W172" s="62" t="n"/>
      <c r="X172" s="47" t="n"/>
      <c r="Y172" s="62" t="n"/>
      <c r="Z172" s="47" t="n"/>
      <c r="AA172" s="47" t="n"/>
      <c r="AB172" s="62" t="n"/>
    </row>
    <row r="173" ht="15.75" customHeight="1">
      <c r="A173" s="47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61" t="n"/>
      <c r="K173" s="61" t="n"/>
      <c r="L173" s="61" t="n"/>
      <c r="M173" s="61" t="n"/>
      <c r="N173" s="61" t="n"/>
      <c r="O173" s="61" t="n"/>
      <c r="P173" s="61" t="n"/>
      <c r="Q173" s="61" t="n"/>
      <c r="R173" s="61" t="n"/>
      <c r="S173" s="48" t="n"/>
      <c r="T173" s="61" t="n"/>
      <c r="U173" s="62" t="n"/>
      <c r="V173" s="62" t="n"/>
      <c r="W173" s="62" t="n"/>
      <c r="X173" s="47" t="n"/>
      <c r="Y173" s="62" t="n"/>
      <c r="Z173" s="47" t="n"/>
      <c r="AA173" s="47" t="n"/>
      <c r="AB173" s="62" t="n"/>
    </row>
    <row r="174" ht="15.75" customHeight="1">
      <c r="A174" s="47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61" t="n"/>
      <c r="K174" s="61" t="n"/>
      <c r="L174" s="61" t="n"/>
      <c r="M174" s="61" t="n"/>
      <c r="N174" s="61" t="n"/>
      <c r="O174" s="61" t="n"/>
      <c r="P174" s="61" t="n"/>
      <c r="Q174" s="61" t="n"/>
      <c r="R174" s="61" t="n"/>
      <c r="S174" s="48" t="n"/>
      <c r="T174" s="61" t="n"/>
      <c r="U174" s="62" t="n"/>
      <c r="V174" s="62" t="n"/>
      <c r="W174" s="62" t="n"/>
      <c r="X174" s="47" t="n"/>
      <c r="Y174" s="62" t="n"/>
      <c r="Z174" s="47" t="n"/>
      <c r="AA174" s="47" t="n"/>
      <c r="AB174" s="62" t="n"/>
    </row>
    <row r="175" ht="15.75" customHeight="1">
      <c r="A175" s="47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61" t="n"/>
      <c r="K175" s="61" t="n"/>
      <c r="L175" s="61" t="n"/>
      <c r="M175" s="61" t="n"/>
      <c r="N175" s="61" t="n"/>
      <c r="O175" s="61" t="n"/>
      <c r="P175" s="61" t="n"/>
      <c r="Q175" s="61" t="n"/>
      <c r="R175" s="61" t="n"/>
      <c r="S175" s="48" t="n"/>
      <c r="T175" s="61" t="n"/>
      <c r="U175" s="62" t="n"/>
      <c r="V175" s="62" t="n"/>
      <c r="W175" s="62" t="n"/>
      <c r="X175" s="47" t="n"/>
      <c r="Y175" s="62" t="n"/>
      <c r="Z175" s="47" t="n"/>
      <c r="AA175" s="47" t="n"/>
      <c r="AB175" s="62" t="n"/>
    </row>
    <row r="176" ht="15.75" customHeight="1">
      <c r="A176" s="47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61" t="n"/>
      <c r="K176" s="61" t="n"/>
      <c r="L176" s="61" t="n"/>
      <c r="M176" s="61" t="n"/>
      <c r="N176" s="61" t="n"/>
      <c r="O176" s="61" t="n"/>
      <c r="P176" s="61" t="n"/>
      <c r="Q176" s="61" t="n"/>
      <c r="R176" s="61" t="n"/>
      <c r="S176" s="48" t="n"/>
      <c r="T176" s="61" t="n"/>
      <c r="U176" s="62" t="n"/>
      <c r="V176" s="62" t="n"/>
      <c r="W176" s="62" t="n"/>
      <c r="X176" s="47" t="n"/>
      <c r="Y176" s="62" t="n"/>
      <c r="Z176" s="47" t="n"/>
      <c r="AA176" s="47" t="n"/>
      <c r="AB176" s="62" t="n"/>
    </row>
    <row r="177" ht="15.75" customHeight="1">
      <c r="A177" s="47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61" t="n"/>
      <c r="K177" s="61" t="n"/>
      <c r="L177" s="61" t="n"/>
      <c r="M177" s="61" t="n"/>
      <c r="N177" s="61" t="n"/>
      <c r="O177" s="61" t="n"/>
      <c r="P177" s="61" t="n"/>
      <c r="Q177" s="61" t="n"/>
      <c r="R177" s="61" t="n"/>
      <c r="S177" s="48" t="n"/>
      <c r="T177" s="61" t="n"/>
      <c r="U177" s="62" t="n"/>
      <c r="V177" s="62" t="n"/>
      <c r="W177" s="62" t="n"/>
      <c r="X177" s="47" t="n"/>
      <c r="Y177" s="62" t="n"/>
      <c r="Z177" s="47" t="n"/>
      <c r="AA177" s="47" t="n"/>
      <c r="AB177" s="62" t="n"/>
    </row>
    <row r="178" ht="15.75" customHeight="1">
      <c r="A178" s="47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61" t="n"/>
      <c r="K178" s="61" t="n"/>
      <c r="L178" s="61" t="n"/>
      <c r="M178" s="61" t="n"/>
      <c r="N178" s="61" t="n"/>
      <c r="O178" s="61" t="n"/>
      <c r="P178" s="61" t="n"/>
      <c r="Q178" s="61" t="n"/>
      <c r="R178" s="61" t="n"/>
      <c r="S178" s="48" t="n"/>
      <c r="T178" s="61" t="n"/>
      <c r="U178" s="62" t="n"/>
      <c r="V178" s="62" t="n"/>
      <c r="W178" s="62" t="n"/>
      <c r="X178" s="47" t="n"/>
      <c r="Y178" s="62" t="n"/>
      <c r="Z178" s="47" t="n"/>
      <c r="AA178" s="47" t="n"/>
      <c r="AB178" s="62" t="n"/>
    </row>
    <row r="179" ht="15.75" customHeight="1">
      <c r="A179" s="47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61" t="n"/>
      <c r="K179" s="61" t="n"/>
      <c r="L179" s="61" t="n"/>
      <c r="M179" s="61" t="n"/>
      <c r="N179" s="61" t="n"/>
      <c r="O179" s="61" t="n"/>
      <c r="P179" s="61" t="n"/>
      <c r="Q179" s="61" t="n"/>
      <c r="R179" s="61" t="n"/>
      <c r="S179" s="48" t="n"/>
      <c r="T179" s="61" t="n"/>
      <c r="U179" s="62" t="n"/>
      <c r="V179" s="62" t="n"/>
      <c r="W179" s="62" t="n"/>
      <c r="X179" s="47" t="n"/>
      <c r="Y179" s="62" t="n"/>
      <c r="Z179" s="47" t="n"/>
      <c r="AA179" s="47" t="n"/>
      <c r="AB179" s="62" t="n"/>
    </row>
    <row r="180" ht="15.75" customHeight="1">
      <c r="A180" s="47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61" t="n"/>
      <c r="K180" s="61" t="n"/>
      <c r="L180" s="61" t="n"/>
      <c r="M180" s="61" t="n"/>
      <c r="N180" s="61" t="n"/>
      <c r="O180" s="61" t="n"/>
      <c r="P180" s="61" t="n"/>
      <c r="Q180" s="61" t="n"/>
      <c r="R180" s="61" t="n"/>
      <c r="S180" s="48" t="n"/>
      <c r="T180" s="61" t="n"/>
      <c r="U180" s="62" t="n"/>
      <c r="V180" s="62" t="n"/>
      <c r="W180" s="62" t="n"/>
      <c r="X180" s="47" t="n"/>
      <c r="Y180" s="62" t="n"/>
      <c r="Z180" s="47" t="n"/>
      <c r="AA180" s="47" t="n"/>
      <c r="AB180" s="62" t="n"/>
    </row>
    <row r="181" ht="15.75" customHeight="1">
      <c r="A181" s="47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61" t="n"/>
      <c r="K181" s="61" t="n"/>
      <c r="L181" s="61" t="n"/>
      <c r="M181" s="61" t="n"/>
      <c r="N181" s="61" t="n"/>
      <c r="O181" s="61" t="n"/>
      <c r="P181" s="61" t="n"/>
      <c r="Q181" s="61" t="n"/>
      <c r="R181" s="61" t="n"/>
      <c r="S181" s="48" t="n"/>
      <c r="T181" s="61" t="n"/>
      <c r="U181" s="62" t="n"/>
      <c r="V181" s="62" t="n"/>
      <c r="W181" s="62" t="n"/>
      <c r="X181" s="47" t="n"/>
      <c r="Y181" s="62" t="n"/>
      <c r="Z181" s="47" t="n"/>
      <c r="AA181" s="47" t="n"/>
      <c r="AB181" s="62" t="n"/>
    </row>
    <row r="182" ht="15.75" customHeight="1">
      <c r="A182" s="47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61" t="n"/>
      <c r="K182" s="61" t="n"/>
      <c r="L182" s="61" t="n"/>
      <c r="M182" s="61" t="n"/>
      <c r="N182" s="61" t="n"/>
      <c r="O182" s="61" t="n"/>
      <c r="P182" s="61" t="n"/>
      <c r="Q182" s="61" t="n"/>
      <c r="R182" s="61" t="n"/>
      <c r="S182" s="48" t="n"/>
      <c r="T182" s="61" t="n"/>
      <c r="U182" s="62" t="n"/>
      <c r="V182" s="62" t="n"/>
      <c r="W182" s="62" t="n"/>
      <c r="X182" s="47" t="n"/>
      <c r="Y182" s="62" t="n"/>
      <c r="Z182" s="47" t="n"/>
      <c r="AA182" s="47" t="n"/>
      <c r="AB182" s="62" t="n"/>
    </row>
    <row r="183" ht="15.75" customHeight="1">
      <c r="A183" s="47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61" t="n"/>
      <c r="K183" s="61" t="n"/>
      <c r="L183" s="61" t="n"/>
      <c r="M183" s="61" t="n"/>
      <c r="N183" s="61" t="n"/>
      <c r="O183" s="61" t="n"/>
      <c r="P183" s="61" t="n"/>
      <c r="Q183" s="61" t="n"/>
      <c r="R183" s="61" t="n"/>
      <c r="S183" s="48" t="n"/>
      <c r="T183" s="61" t="n"/>
      <c r="U183" s="62" t="n"/>
      <c r="V183" s="62" t="n"/>
      <c r="W183" s="62" t="n"/>
      <c r="X183" s="47" t="n"/>
      <c r="Y183" s="62" t="n"/>
      <c r="Z183" s="47" t="n"/>
      <c r="AA183" s="47" t="n"/>
      <c r="AB183" s="62" t="n"/>
    </row>
    <row r="184" ht="15.75" customHeight="1">
      <c r="A184" s="47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61" t="n"/>
      <c r="K184" s="61" t="n"/>
      <c r="L184" s="61" t="n"/>
      <c r="M184" s="61" t="n"/>
      <c r="N184" s="61" t="n"/>
      <c r="O184" s="61" t="n"/>
      <c r="P184" s="61" t="n"/>
      <c r="Q184" s="61" t="n"/>
      <c r="R184" s="61" t="n"/>
      <c r="S184" s="48" t="n"/>
      <c r="T184" s="61" t="n"/>
      <c r="U184" s="62" t="n"/>
      <c r="V184" s="62" t="n"/>
      <c r="W184" s="62" t="n"/>
      <c r="X184" s="47" t="n"/>
      <c r="Y184" s="62" t="n"/>
      <c r="Z184" s="47" t="n"/>
      <c r="AA184" s="47" t="n"/>
      <c r="AB184" s="62" t="n"/>
    </row>
    <row r="185" ht="15.75" customHeight="1">
      <c r="A185" s="47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61" t="n"/>
      <c r="K185" s="61" t="n"/>
      <c r="L185" s="61" t="n"/>
      <c r="M185" s="61" t="n"/>
      <c r="N185" s="61" t="n"/>
      <c r="O185" s="61" t="n"/>
      <c r="P185" s="61" t="n"/>
      <c r="Q185" s="61" t="n"/>
      <c r="R185" s="61" t="n"/>
      <c r="S185" s="48" t="n"/>
      <c r="T185" s="61" t="n"/>
      <c r="U185" s="62" t="n"/>
      <c r="V185" s="62" t="n"/>
      <c r="W185" s="62" t="n"/>
      <c r="X185" s="47" t="n"/>
      <c r="Y185" s="62" t="n"/>
      <c r="Z185" s="47" t="n"/>
      <c r="AA185" s="47" t="n"/>
      <c r="AB185" s="62" t="n"/>
    </row>
    <row r="186" ht="15.75" customHeight="1">
      <c r="A186" s="47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61" t="n"/>
      <c r="K186" s="61" t="n"/>
      <c r="L186" s="61" t="n"/>
      <c r="M186" s="61" t="n"/>
      <c r="N186" s="61" t="n"/>
      <c r="O186" s="61" t="n"/>
      <c r="P186" s="61" t="n"/>
      <c r="Q186" s="61" t="n"/>
      <c r="R186" s="61" t="n"/>
      <c r="S186" s="48" t="n"/>
      <c r="T186" s="61" t="n"/>
      <c r="U186" s="62" t="n"/>
      <c r="V186" s="62" t="n"/>
      <c r="W186" s="62" t="n"/>
      <c r="X186" s="47" t="n"/>
      <c r="Y186" s="62" t="n"/>
      <c r="Z186" s="47" t="n"/>
      <c r="AA186" s="47" t="n"/>
      <c r="AB186" s="62" t="n"/>
    </row>
    <row r="187" ht="15.75" customHeight="1">
      <c r="A187" s="47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61" t="n"/>
      <c r="K187" s="61" t="n"/>
      <c r="L187" s="61" t="n"/>
      <c r="M187" s="61" t="n"/>
      <c r="N187" s="61" t="n"/>
      <c r="O187" s="61" t="n"/>
      <c r="P187" s="61" t="n"/>
      <c r="Q187" s="61" t="n"/>
      <c r="R187" s="61" t="n"/>
      <c r="S187" s="48" t="n"/>
      <c r="T187" s="61" t="n"/>
      <c r="U187" s="62" t="n"/>
      <c r="V187" s="62" t="n"/>
      <c r="W187" s="62" t="n"/>
      <c r="X187" s="47" t="n"/>
      <c r="Y187" s="62" t="n"/>
      <c r="Z187" s="47" t="n"/>
      <c r="AA187" s="47" t="n"/>
      <c r="AB187" s="62" t="n"/>
    </row>
    <row r="188" ht="15.75" customHeight="1">
      <c r="A188" s="47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61" t="n"/>
      <c r="K188" s="61" t="n"/>
      <c r="L188" s="61" t="n"/>
      <c r="M188" s="61" t="n"/>
      <c r="N188" s="61" t="n"/>
      <c r="O188" s="61" t="n"/>
      <c r="P188" s="61" t="n"/>
      <c r="Q188" s="61" t="n"/>
      <c r="R188" s="61" t="n"/>
      <c r="S188" s="48" t="n"/>
      <c r="T188" s="61" t="n"/>
      <c r="U188" s="62" t="n"/>
      <c r="V188" s="62" t="n"/>
      <c r="W188" s="62" t="n"/>
      <c r="X188" s="47" t="n"/>
      <c r="Y188" s="62" t="n"/>
      <c r="Z188" s="47" t="n"/>
      <c r="AA188" s="47" t="n"/>
      <c r="AB188" s="62" t="n"/>
    </row>
    <row r="189" ht="15.75" customHeight="1">
      <c r="A189" s="47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48" t="n"/>
      <c r="T189" s="61" t="n"/>
      <c r="U189" s="62" t="n"/>
      <c r="V189" s="62" t="n"/>
      <c r="W189" s="62" t="n"/>
      <c r="X189" s="47" t="n"/>
      <c r="Y189" s="62" t="n"/>
      <c r="Z189" s="47" t="n"/>
      <c r="AA189" s="47" t="n"/>
      <c r="AB189" s="62" t="n"/>
    </row>
    <row r="190" ht="15.75" customHeight="1">
      <c r="A190" s="47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48" t="n"/>
      <c r="T190" s="61" t="n"/>
      <c r="U190" s="62" t="n"/>
      <c r="V190" s="62" t="n"/>
      <c r="W190" s="62" t="n"/>
      <c r="X190" s="47" t="n"/>
      <c r="Y190" s="62" t="n"/>
      <c r="Z190" s="47" t="n"/>
      <c r="AA190" s="47" t="n"/>
      <c r="AB190" s="62" t="n"/>
    </row>
    <row r="191" ht="15.75" customHeight="1">
      <c r="A191" s="47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48" t="n"/>
      <c r="T191" s="61" t="n"/>
      <c r="U191" s="62" t="n"/>
      <c r="V191" s="62" t="n"/>
      <c r="W191" s="62" t="n"/>
      <c r="X191" s="47" t="n"/>
      <c r="Y191" s="62" t="n"/>
      <c r="Z191" s="47" t="n"/>
      <c r="AA191" s="47" t="n"/>
      <c r="AB191" s="62" t="n"/>
    </row>
    <row r="192" ht="15.75" customHeight="1">
      <c r="A192" s="47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48" t="n"/>
      <c r="T192" s="61" t="n"/>
      <c r="U192" s="62" t="n"/>
      <c r="V192" s="62" t="n"/>
      <c r="W192" s="62" t="n"/>
      <c r="X192" s="47" t="n"/>
      <c r="Y192" s="62" t="n"/>
      <c r="Z192" s="47" t="n"/>
      <c r="AA192" s="47" t="n"/>
      <c r="AB192" s="62" t="n"/>
    </row>
    <row r="193" ht="15.75" customHeight="1">
      <c r="A193" s="47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48" t="n"/>
      <c r="T193" s="61" t="n"/>
      <c r="U193" s="62" t="n"/>
      <c r="V193" s="62" t="n"/>
      <c r="W193" s="62" t="n"/>
      <c r="X193" s="47" t="n"/>
      <c r="Y193" s="62" t="n"/>
      <c r="Z193" s="47" t="n"/>
      <c r="AA193" s="47" t="n"/>
      <c r="AB193" s="62" t="n"/>
    </row>
    <row r="194" ht="15.75" customHeight="1">
      <c r="A194" s="47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48" t="n"/>
      <c r="T194" s="61" t="n"/>
      <c r="U194" s="62" t="n"/>
      <c r="V194" s="62" t="n"/>
      <c r="W194" s="62" t="n"/>
      <c r="X194" s="47" t="n"/>
      <c r="Y194" s="62" t="n"/>
      <c r="Z194" s="47" t="n"/>
      <c r="AA194" s="47" t="n"/>
      <c r="AB194" s="62" t="n"/>
    </row>
    <row r="195" ht="15.75" customHeight="1">
      <c r="A195" s="47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48" t="n"/>
      <c r="T195" s="61" t="n"/>
      <c r="U195" s="62" t="n"/>
      <c r="V195" s="62" t="n"/>
      <c r="W195" s="62" t="n"/>
      <c r="X195" s="47" t="n"/>
      <c r="Y195" s="62" t="n"/>
      <c r="Z195" s="47" t="n"/>
      <c r="AA195" s="47" t="n"/>
      <c r="AB195" s="62" t="n"/>
    </row>
    <row r="196" ht="15.75" customHeight="1">
      <c r="A196" s="47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48" t="n"/>
      <c r="T196" s="61" t="n"/>
      <c r="U196" s="62" t="n"/>
      <c r="V196" s="62" t="n"/>
      <c r="W196" s="62" t="n"/>
      <c r="X196" s="47" t="n"/>
      <c r="Y196" s="62" t="n"/>
      <c r="Z196" s="47" t="n"/>
      <c r="AA196" s="47" t="n"/>
      <c r="AB196" s="62" t="n"/>
    </row>
    <row r="197" ht="15.75" customHeight="1">
      <c r="A197" s="47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48" t="n"/>
      <c r="T197" s="61" t="n"/>
      <c r="U197" s="62" t="n"/>
      <c r="V197" s="62" t="n"/>
      <c r="W197" s="62" t="n"/>
      <c r="X197" s="47" t="n"/>
      <c r="Y197" s="62" t="n"/>
      <c r="Z197" s="47" t="n"/>
      <c r="AA197" s="47" t="n"/>
      <c r="AB197" s="62" t="n"/>
    </row>
    <row r="198" ht="15.75" customHeight="1">
      <c r="A198" s="47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48" t="n"/>
      <c r="T198" s="61" t="n"/>
      <c r="U198" s="62" t="n"/>
      <c r="V198" s="62" t="n"/>
      <c r="W198" s="62" t="n"/>
      <c r="X198" s="47" t="n"/>
      <c r="Y198" s="62" t="n"/>
      <c r="Z198" s="47" t="n"/>
      <c r="AA198" s="47" t="n"/>
      <c r="AB198" s="62" t="n"/>
    </row>
    <row r="199" ht="15.75" customHeight="1">
      <c r="A199" s="47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48" t="n"/>
      <c r="T199" s="61" t="n"/>
      <c r="U199" s="62" t="n"/>
      <c r="V199" s="62" t="n"/>
      <c r="W199" s="62" t="n"/>
      <c r="X199" s="47" t="n"/>
      <c r="Y199" s="62" t="n"/>
      <c r="Z199" s="47" t="n"/>
      <c r="AA199" s="47" t="n"/>
      <c r="AB199" s="62" t="n"/>
    </row>
    <row r="200" ht="15.75" customHeight="1">
      <c r="A200" s="47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48" t="n"/>
      <c r="T200" s="61" t="n"/>
      <c r="U200" s="62" t="n"/>
      <c r="V200" s="62" t="n"/>
      <c r="W200" s="62" t="n"/>
      <c r="X200" s="47" t="n"/>
      <c r="Y200" s="62" t="n"/>
      <c r="Z200" s="47" t="n"/>
      <c r="AA200" s="47" t="n"/>
      <c r="AB200" s="62" t="n"/>
    </row>
    <row r="201" ht="15.75" customHeight="1">
      <c r="A201" s="47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48" t="n"/>
      <c r="T201" s="61" t="n"/>
      <c r="U201" s="62" t="n"/>
      <c r="V201" s="62" t="n"/>
      <c r="W201" s="62" t="n"/>
      <c r="X201" s="47" t="n"/>
      <c r="Y201" s="62" t="n"/>
      <c r="Z201" s="47" t="n"/>
      <c r="AA201" s="47" t="n"/>
      <c r="AB201" s="62" t="n"/>
    </row>
    <row r="202" ht="15.75" customHeight="1">
      <c r="A202" s="47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48" t="n"/>
      <c r="T202" s="61" t="n"/>
      <c r="U202" s="62" t="n"/>
      <c r="V202" s="62" t="n"/>
      <c r="W202" s="62" t="n"/>
      <c r="X202" s="47" t="n"/>
      <c r="Y202" s="62" t="n"/>
      <c r="Z202" s="47" t="n"/>
      <c r="AA202" s="47" t="n"/>
      <c r="AB202" s="62" t="n"/>
    </row>
    <row r="203" ht="15.75" customHeight="1">
      <c r="A203" s="47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48" t="n"/>
      <c r="T203" s="61" t="n"/>
      <c r="U203" s="62" t="n"/>
      <c r="V203" s="62" t="n"/>
      <c r="W203" s="62" t="n"/>
      <c r="X203" s="47" t="n"/>
      <c r="Y203" s="62" t="n"/>
      <c r="Z203" s="47" t="n"/>
      <c r="AA203" s="47" t="n"/>
      <c r="AB203" s="62" t="n"/>
    </row>
    <row r="204" ht="15.75" customHeight="1">
      <c r="A204" s="47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48" t="n"/>
      <c r="T204" s="61" t="n"/>
      <c r="U204" s="62" t="n"/>
      <c r="V204" s="62" t="n"/>
      <c r="W204" s="62" t="n"/>
      <c r="X204" s="47" t="n"/>
      <c r="Y204" s="62" t="n"/>
      <c r="Z204" s="47" t="n"/>
      <c r="AA204" s="47" t="n"/>
      <c r="AB204" s="62" t="n"/>
    </row>
    <row r="205" ht="15.75" customHeight="1">
      <c r="A205" s="47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48" t="n"/>
      <c r="T205" s="61" t="n"/>
      <c r="U205" s="62" t="n"/>
      <c r="V205" s="62" t="n"/>
      <c r="W205" s="62" t="n"/>
      <c r="X205" s="47" t="n"/>
      <c r="Y205" s="62" t="n"/>
      <c r="Z205" s="47" t="n"/>
      <c r="AA205" s="47" t="n"/>
      <c r="AB205" s="62" t="n"/>
    </row>
    <row r="206" ht="15.75" customHeight="1">
      <c r="A206" s="47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48" t="n"/>
      <c r="T206" s="61" t="n"/>
      <c r="U206" s="62" t="n"/>
      <c r="V206" s="62" t="n"/>
      <c r="W206" s="62" t="n"/>
      <c r="X206" s="47" t="n"/>
      <c r="Y206" s="62" t="n"/>
      <c r="Z206" s="47" t="n"/>
      <c r="AA206" s="47" t="n"/>
      <c r="AB206" s="62" t="n"/>
    </row>
    <row r="207" ht="15.75" customHeight="1">
      <c r="A207" s="47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48" t="n"/>
      <c r="T207" s="61" t="n"/>
      <c r="U207" s="62" t="n"/>
      <c r="V207" s="62" t="n"/>
      <c r="W207" s="62" t="n"/>
      <c r="X207" s="47" t="n"/>
      <c r="Y207" s="62" t="n"/>
      <c r="Z207" s="47" t="n"/>
      <c r="AA207" s="47" t="n"/>
      <c r="AB207" s="62" t="n"/>
    </row>
    <row r="208" ht="15.75" customHeight="1">
      <c r="A208" s="47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48" t="n"/>
      <c r="T208" s="61" t="n"/>
      <c r="U208" s="62" t="n"/>
      <c r="V208" s="62" t="n"/>
      <c r="W208" s="62" t="n"/>
      <c r="X208" s="47" t="n"/>
      <c r="Y208" s="62" t="n"/>
      <c r="Z208" s="47" t="n"/>
      <c r="AA208" s="47" t="n"/>
      <c r="AB208" s="62" t="n"/>
    </row>
    <row r="209" ht="15.75" customHeight="1">
      <c r="A209" s="47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48" t="n"/>
      <c r="T209" s="61" t="n"/>
      <c r="U209" s="62" t="n"/>
      <c r="V209" s="62" t="n"/>
      <c r="W209" s="62" t="n"/>
      <c r="X209" s="47" t="n"/>
      <c r="Y209" s="62" t="n"/>
      <c r="Z209" s="47" t="n"/>
      <c r="AA209" s="47" t="n"/>
      <c r="AB209" s="62" t="n"/>
    </row>
    <row r="210" ht="15.75" customHeight="1">
      <c r="A210" s="47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48" t="n"/>
      <c r="T210" s="61" t="n"/>
      <c r="U210" s="62" t="n"/>
      <c r="V210" s="62" t="n"/>
      <c r="W210" s="62" t="n"/>
      <c r="X210" s="47" t="n"/>
      <c r="Y210" s="62" t="n"/>
      <c r="Z210" s="47" t="n"/>
      <c r="AA210" s="47" t="n"/>
      <c r="AB210" s="62" t="n"/>
    </row>
    <row r="211" ht="15.75" customHeight="1">
      <c r="A211" s="47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48" t="n"/>
      <c r="T211" s="61" t="n"/>
      <c r="U211" s="62" t="n"/>
      <c r="V211" s="62" t="n"/>
      <c r="W211" s="62" t="n"/>
      <c r="X211" s="47" t="n"/>
      <c r="Y211" s="62" t="n"/>
      <c r="Z211" s="47" t="n"/>
      <c r="AA211" s="47" t="n"/>
      <c r="AB211" s="62" t="n"/>
    </row>
    <row r="212" ht="15.75" customHeight="1">
      <c r="A212" s="47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48" t="n"/>
      <c r="T212" s="61" t="n"/>
      <c r="U212" s="62" t="n"/>
      <c r="V212" s="62" t="n"/>
      <c r="W212" s="62" t="n"/>
      <c r="X212" s="47" t="n"/>
      <c r="Y212" s="62" t="n"/>
      <c r="Z212" s="47" t="n"/>
      <c r="AA212" s="47" t="n"/>
      <c r="AB212" s="62" t="n"/>
    </row>
    <row r="213" ht="15.75" customHeight="1">
      <c r="A213" s="47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48" t="n"/>
      <c r="T213" s="61" t="n"/>
      <c r="U213" s="62" t="n"/>
      <c r="V213" s="62" t="n"/>
      <c r="W213" s="62" t="n"/>
      <c r="X213" s="47" t="n"/>
      <c r="Y213" s="62" t="n"/>
      <c r="Z213" s="47" t="n"/>
      <c r="AA213" s="47" t="n"/>
      <c r="AB213" s="62" t="n"/>
    </row>
    <row r="214" ht="15.75" customHeight="1">
      <c r="A214" s="47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48" t="n"/>
      <c r="T214" s="61" t="n"/>
      <c r="U214" s="62" t="n"/>
      <c r="V214" s="62" t="n"/>
      <c r="W214" s="62" t="n"/>
      <c r="X214" s="47" t="n"/>
      <c r="Y214" s="62" t="n"/>
      <c r="Z214" s="47" t="n"/>
      <c r="AA214" s="47" t="n"/>
      <c r="AB214" s="62" t="n"/>
    </row>
    <row r="215" ht="15.75" customHeight="1">
      <c r="A215" s="47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48" t="n"/>
      <c r="T215" s="61" t="n"/>
      <c r="U215" s="62" t="n"/>
      <c r="V215" s="62" t="n"/>
      <c r="W215" s="62" t="n"/>
      <c r="X215" s="47" t="n"/>
      <c r="Y215" s="62" t="n"/>
      <c r="Z215" s="47" t="n"/>
      <c r="AA215" s="47" t="n"/>
      <c r="AB215" s="62" t="n"/>
    </row>
    <row r="216" ht="15.75" customHeight="1">
      <c r="A216" s="47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48" t="n"/>
      <c r="T216" s="61" t="n"/>
      <c r="U216" s="62" t="n"/>
      <c r="V216" s="62" t="n"/>
      <c r="W216" s="62" t="n"/>
      <c r="X216" s="47" t="n"/>
      <c r="Y216" s="62" t="n"/>
      <c r="Z216" s="47" t="n"/>
      <c r="AA216" s="47" t="n"/>
      <c r="AB216" s="62" t="n"/>
    </row>
    <row r="217" ht="15.75" customHeight="1">
      <c r="A217" s="47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48" t="n"/>
      <c r="T217" s="61" t="n"/>
      <c r="U217" s="62" t="n"/>
      <c r="V217" s="62" t="n"/>
      <c r="W217" s="62" t="n"/>
      <c r="X217" s="47" t="n"/>
      <c r="Y217" s="62" t="n"/>
      <c r="Z217" s="47" t="n"/>
      <c r="AA217" s="47" t="n"/>
      <c r="AB217" s="62" t="n"/>
    </row>
    <row r="218" ht="15.75" customHeight="1">
      <c r="A218" s="47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48" t="n"/>
      <c r="T218" s="61" t="n"/>
      <c r="U218" s="62" t="n"/>
      <c r="V218" s="62" t="n"/>
      <c r="W218" s="62" t="n"/>
      <c r="X218" s="47" t="n"/>
      <c r="Y218" s="62" t="n"/>
      <c r="Z218" s="47" t="n"/>
      <c r="AA218" s="47" t="n"/>
      <c r="AB218" s="62" t="n"/>
    </row>
    <row r="219" ht="15.75" customHeight="1">
      <c r="A219" s="47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48" t="n"/>
      <c r="T219" s="61" t="n"/>
      <c r="U219" s="62" t="n"/>
      <c r="V219" s="62" t="n"/>
      <c r="W219" s="62" t="n"/>
      <c r="X219" s="47" t="n"/>
      <c r="Y219" s="62" t="n"/>
      <c r="Z219" s="47" t="n"/>
      <c r="AA219" s="47" t="n"/>
      <c r="AB219" s="62" t="n"/>
    </row>
    <row r="220" ht="15.75" customHeight="1">
      <c r="A220" s="47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48" t="n"/>
      <c r="T220" s="61" t="n"/>
      <c r="U220" s="62" t="n"/>
      <c r="V220" s="62" t="n"/>
      <c r="W220" s="62" t="n"/>
      <c r="X220" s="47" t="n"/>
      <c r="Y220" s="62" t="n"/>
      <c r="Z220" s="47" t="n"/>
      <c r="AA220" s="47" t="n"/>
      <c r="AB220" s="62" t="n"/>
    </row>
    <row r="221" ht="15.75" customHeight="1">
      <c r="A221" s="47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48" t="n"/>
      <c r="T221" s="61" t="n"/>
      <c r="U221" s="62" t="n"/>
      <c r="V221" s="62" t="n"/>
      <c r="W221" s="62" t="n"/>
      <c r="X221" s="47" t="n"/>
      <c r="Y221" s="62" t="n"/>
      <c r="Z221" s="47" t="n"/>
      <c r="AA221" s="47" t="n"/>
      <c r="AB221" s="62" t="n"/>
    </row>
    <row r="222" ht="15.75" customHeight="1">
      <c r="A222" s="47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48" t="n"/>
      <c r="T222" s="61" t="n"/>
      <c r="U222" s="62" t="n"/>
      <c r="V222" s="62" t="n"/>
      <c r="W222" s="62" t="n"/>
      <c r="X222" s="47" t="n"/>
      <c r="Y222" s="62" t="n"/>
      <c r="Z222" s="47" t="n"/>
      <c r="AA222" s="47" t="n"/>
      <c r="AB222" s="62" t="n"/>
    </row>
    <row r="223" ht="15.75" customHeight="1">
      <c r="A223" s="47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48" t="n"/>
      <c r="T223" s="61" t="n"/>
      <c r="U223" s="62" t="n"/>
      <c r="V223" s="62" t="n"/>
      <c r="W223" s="62" t="n"/>
      <c r="X223" s="47" t="n"/>
      <c r="Y223" s="62" t="n"/>
      <c r="Z223" s="47" t="n"/>
      <c r="AA223" s="47" t="n"/>
      <c r="AB223" s="62" t="n"/>
    </row>
    <row r="224" ht="15.75" customHeight="1">
      <c r="A224" s="47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48" t="n"/>
      <c r="T224" s="61" t="n"/>
      <c r="U224" s="62" t="n"/>
      <c r="V224" s="62" t="n"/>
      <c r="W224" s="62" t="n"/>
      <c r="X224" s="47" t="n"/>
      <c r="Y224" s="62" t="n"/>
      <c r="Z224" s="47" t="n"/>
      <c r="AA224" s="47" t="n"/>
      <c r="AB224" s="62" t="n"/>
    </row>
    <row r="225" ht="15.75" customHeight="1">
      <c r="A225" s="47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48" t="n"/>
      <c r="T225" s="61" t="n"/>
      <c r="U225" s="62" t="n"/>
      <c r="V225" s="62" t="n"/>
      <c r="W225" s="62" t="n"/>
      <c r="X225" s="47" t="n"/>
      <c r="Y225" s="62" t="n"/>
      <c r="Z225" s="47" t="n"/>
      <c r="AA225" s="47" t="n"/>
      <c r="AB225" s="62" t="n"/>
    </row>
    <row r="226" ht="15.75" customHeight="1">
      <c r="A226" s="47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48" t="n"/>
      <c r="T226" s="61" t="n"/>
      <c r="U226" s="62" t="n"/>
      <c r="V226" s="62" t="n"/>
      <c r="W226" s="62" t="n"/>
      <c r="X226" s="47" t="n"/>
      <c r="Y226" s="62" t="n"/>
      <c r="Z226" s="47" t="n"/>
      <c r="AA226" s="47" t="n"/>
      <c r="AB226" s="62" t="n"/>
    </row>
    <row r="227" ht="15.75" customHeight="1">
      <c r="A227" s="47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48" t="n"/>
      <c r="T227" s="61" t="n"/>
      <c r="U227" s="62" t="n"/>
      <c r="V227" s="62" t="n"/>
      <c r="W227" s="62" t="n"/>
      <c r="X227" s="47" t="n"/>
      <c r="Y227" s="62" t="n"/>
      <c r="Z227" s="47" t="n"/>
      <c r="AA227" s="47" t="n"/>
      <c r="AB227" s="62" t="n"/>
    </row>
    <row r="228" ht="15.75" customHeight="1">
      <c r="A228" s="47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48" t="n"/>
      <c r="T228" s="61" t="n"/>
      <c r="U228" s="62" t="n"/>
      <c r="V228" s="62" t="n"/>
      <c r="W228" s="62" t="n"/>
      <c r="X228" s="47" t="n"/>
      <c r="Y228" s="62" t="n"/>
      <c r="Z228" s="47" t="n"/>
      <c r="AA228" s="47" t="n"/>
      <c r="AB228" s="62" t="n"/>
    </row>
    <row r="229" ht="15.75" customHeight="1">
      <c r="A229" s="47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48" t="n"/>
      <c r="T229" s="61" t="n"/>
      <c r="U229" s="62" t="n"/>
      <c r="V229" s="62" t="n"/>
      <c r="W229" s="62" t="n"/>
      <c r="X229" s="47" t="n"/>
      <c r="Y229" s="62" t="n"/>
      <c r="Z229" s="47" t="n"/>
      <c r="AA229" s="47" t="n"/>
      <c r="AB229" s="62" t="n"/>
    </row>
    <row r="230" ht="15.75" customHeight="1">
      <c r="A230" s="47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48" t="n"/>
      <c r="T230" s="61" t="n"/>
      <c r="U230" s="62" t="n"/>
      <c r="V230" s="62" t="n"/>
      <c r="W230" s="62" t="n"/>
      <c r="X230" s="47" t="n"/>
      <c r="Y230" s="62" t="n"/>
      <c r="Z230" s="47" t="n"/>
      <c r="AA230" s="47" t="n"/>
      <c r="AB230" s="62" t="n"/>
    </row>
    <row r="231" ht="15.75" customHeight="1">
      <c r="A231" s="47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48" t="n"/>
      <c r="T231" s="61" t="n"/>
      <c r="U231" s="62" t="n"/>
      <c r="V231" s="62" t="n"/>
      <c r="W231" s="62" t="n"/>
      <c r="X231" s="47" t="n"/>
      <c r="Y231" s="62" t="n"/>
      <c r="Z231" s="47" t="n"/>
      <c r="AA231" s="47" t="n"/>
      <c r="AB231" s="62" t="n"/>
    </row>
    <row r="232" ht="15.75" customHeight="1">
      <c r="A232" s="47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48" t="n"/>
      <c r="T232" s="61" t="n"/>
      <c r="U232" s="62" t="n"/>
      <c r="V232" s="62" t="n"/>
      <c r="W232" s="62" t="n"/>
      <c r="X232" s="47" t="n"/>
      <c r="Y232" s="62" t="n"/>
      <c r="Z232" s="47" t="n"/>
      <c r="AA232" s="47" t="n"/>
      <c r="AB232" s="62" t="n"/>
    </row>
    <row r="233" ht="15.75" customHeight="1">
      <c r="A233" s="47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48" t="n"/>
      <c r="T233" s="61" t="n"/>
      <c r="U233" s="62" t="n"/>
      <c r="V233" s="62" t="n"/>
      <c r="W233" s="62" t="n"/>
      <c r="X233" s="47" t="n"/>
      <c r="Y233" s="62" t="n"/>
      <c r="Z233" s="47" t="n"/>
      <c r="AA233" s="47" t="n"/>
      <c r="AB233" s="62" t="n"/>
    </row>
    <row r="234" ht="15.75" customHeight="1">
      <c r="A234" s="47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48" t="n"/>
      <c r="T234" s="61" t="n"/>
      <c r="U234" s="62" t="n"/>
      <c r="V234" s="62" t="n"/>
      <c r="W234" s="62" t="n"/>
      <c r="X234" s="47" t="n"/>
      <c r="Y234" s="62" t="n"/>
      <c r="Z234" s="47" t="n"/>
      <c r="AA234" s="47" t="n"/>
      <c r="AB234" s="62" t="n"/>
    </row>
    <row r="235" ht="15.75" customHeight="1">
      <c r="A235" s="47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48" t="n"/>
      <c r="T235" s="61" t="n"/>
      <c r="U235" s="62" t="n"/>
      <c r="V235" s="62" t="n"/>
      <c r="W235" s="62" t="n"/>
      <c r="X235" s="47" t="n"/>
      <c r="Y235" s="62" t="n"/>
      <c r="Z235" s="47" t="n"/>
      <c r="AA235" s="47" t="n"/>
      <c r="AB235" s="62" t="n"/>
    </row>
    <row r="236" ht="15.75" customHeight="1">
      <c r="A236" s="47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48" t="n"/>
      <c r="T236" s="61" t="n"/>
      <c r="U236" s="62" t="n"/>
      <c r="V236" s="62" t="n"/>
      <c r="W236" s="62" t="n"/>
      <c r="X236" s="47" t="n"/>
      <c r="Y236" s="62" t="n"/>
      <c r="Z236" s="47" t="n"/>
      <c r="AA236" s="47" t="n"/>
      <c r="AB236" s="62" t="n"/>
    </row>
    <row r="237" ht="15.75" customHeight="1">
      <c r="A237" s="47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48" t="n"/>
      <c r="T237" s="61" t="n"/>
      <c r="U237" s="62" t="n"/>
      <c r="V237" s="62" t="n"/>
      <c r="W237" s="62" t="n"/>
      <c r="X237" s="47" t="n"/>
      <c r="Y237" s="62" t="n"/>
      <c r="Z237" s="47" t="n"/>
      <c r="AA237" s="47" t="n"/>
      <c r="AB237" s="62" t="n"/>
    </row>
    <row r="238" ht="15.75" customHeight="1">
      <c r="A238" s="47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48" t="n"/>
      <c r="T238" s="61" t="n"/>
      <c r="U238" s="62" t="n"/>
      <c r="V238" s="62" t="n"/>
      <c r="W238" s="62" t="n"/>
      <c r="X238" s="47" t="n"/>
      <c r="Y238" s="62" t="n"/>
      <c r="Z238" s="47" t="n"/>
      <c r="AA238" s="47" t="n"/>
      <c r="AB238" s="62" t="n"/>
    </row>
    <row r="239" ht="15.75" customHeight="1">
      <c r="A239" s="47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48" t="n"/>
      <c r="T239" s="61" t="n"/>
      <c r="U239" s="62" t="n"/>
      <c r="V239" s="62" t="n"/>
      <c r="W239" s="62" t="n"/>
      <c r="X239" s="47" t="n"/>
      <c r="Y239" s="62" t="n"/>
      <c r="Z239" s="47" t="n"/>
      <c r="AA239" s="47" t="n"/>
      <c r="AB239" s="62" t="n"/>
    </row>
    <row r="240" ht="15.75" customHeight="1">
      <c r="A240" s="47" t="n"/>
      <c r="B240" s="48" t="n"/>
      <c r="C240" s="48" t="n"/>
      <c r="D240" s="48" t="n"/>
      <c r="E240" s="48" t="n"/>
      <c r="F240" s="48" t="n"/>
      <c r="G240" s="48" t="n"/>
      <c r="H240" s="48" t="n"/>
      <c r="I240" s="48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48" t="n"/>
      <c r="T240" s="61" t="n"/>
      <c r="U240" s="62" t="n"/>
      <c r="V240" s="62" t="n"/>
      <c r="W240" s="62" t="n"/>
      <c r="X240" s="47" t="n"/>
      <c r="Y240" s="62" t="n"/>
      <c r="Z240" s="47" t="n"/>
      <c r="AA240" s="47" t="n"/>
      <c r="AB240" s="62" t="n"/>
    </row>
    <row r="241" ht="15.75" customHeight="1">
      <c r="A241" s="47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48" t="n"/>
      <c r="T241" s="61" t="n"/>
      <c r="U241" s="62" t="n"/>
      <c r="V241" s="62" t="n"/>
      <c r="W241" s="62" t="n"/>
      <c r="X241" s="47" t="n"/>
      <c r="Y241" s="62" t="n"/>
      <c r="Z241" s="47" t="n"/>
      <c r="AA241" s="47" t="n"/>
      <c r="AB241" s="62" t="n"/>
    </row>
    <row r="242" ht="15.75" customHeight="1">
      <c r="A242" s="47" t="n"/>
      <c r="B242" s="48" t="n"/>
      <c r="C242" s="48" t="n"/>
      <c r="D242" s="48" t="n"/>
      <c r="E242" s="48" t="n"/>
      <c r="F242" s="48" t="n"/>
      <c r="G242" s="48" t="n"/>
      <c r="H242" s="48" t="n"/>
      <c r="I242" s="48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48" t="n"/>
      <c r="T242" s="61" t="n"/>
      <c r="U242" s="62" t="n"/>
      <c r="V242" s="62" t="n"/>
      <c r="W242" s="62" t="n"/>
      <c r="X242" s="47" t="n"/>
      <c r="Y242" s="62" t="n"/>
      <c r="Z242" s="47" t="n"/>
      <c r="AA242" s="47" t="n"/>
      <c r="AB242" s="62" t="n"/>
    </row>
    <row r="243" ht="15.75" customHeight="1">
      <c r="A243" s="47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48" t="n"/>
      <c r="T243" s="61" t="n"/>
      <c r="U243" s="62" t="n"/>
      <c r="V243" s="62" t="n"/>
      <c r="W243" s="62" t="n"/>
      <c r="X243" s="47" t="n"/>
      <c r="Y243" s="62" t="n"/>
      <c r="Z243" s="47" t="n"/>
      <c r="AA243" s="47" t="n"/>
      <c r="AB243" s="62" t="n"/>
    </row>
    <row r="244" ht="15.75" customHeight="1">
      <c r="A244" s="47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48" t="n"/>
      <c r="T244" s="61" t="n"/>
      <c r="U244" s="62" t="n"/>
      <c r="V244" s="62" t="n"/>
      <c r="W244" s="62" t="n"/>
      <c r="X244" s="47" t="n"/>
      <c r="Y244" s="62" t="n"/>
      <c r="Z244" s="47" t="n"/>
      <c r="AA244" s="47" t="n"/>
      <c r="AB244" s="62" t="n"/>
    </row>
    <row r="245" ht="15.75" customHeight="1">
      <c r="A245" s="47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48" t="n"/>
      <c r="T245" s="61" t="n"/>
      <c r="U245" s="62" t="n"/>
      <c r="V245" s="62" t="n"/>
      <c r="W245" s="62" t="n"/>
      <c r="X245" s="47" t="n"/>
      <c r="Y245" s="62" t="n"/>
      <c r="Z245" s="47" t="n"/>
      <c r="AA245" s="47" t="n"/>
      <c r="AB245" s="62" t="n"/>
    </row>
    <row r="246" ht="15.75" customHeight="1">
      <c r="A246" s="47" t="n"/>
      <c r="B246" s="48" t="n"/>
      <c r="C246" s="48" t="n"/>
      <c r="D246" s="48" t="n"/>
      <c r="E246" s="48" t="n"/>
      <c r="F246" s="48" t="n"/>
      <c r="G246" s="48" t="n"/>
      <c r="H246" s="48" t="n"/>
      <c r="I246" s="48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48" t="n"/>
      <c r="T246" s="61" t="n"/>
      <c r="U246" s="62" t="n"/>
      <c r="V246" s="62" t="n"/>
      <c r="W246" s="62" t="n"/>
      <c r="X246" s="47" t="n"/>
      <c r="Y246" s="62" t="n"/>
      <c r="Z246" s="47" t="n"/>
      <c r="AA246" s="47" t="n"/>
      <c r="AB246" s="62" t="n"/>
    </row>
    <row r="247" ht="15.75" customHeight="1">
      <c r="A247" s="47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48" t="n"/>
      <c r="T247" s="61" t="n"/>
      <c r="U247" s="62" t="n"/>
      <c r="V247" s="62" t="n"/>
      <c r="W247" s="62" t="n"/>
      <c r="X247" s="47" t="n"/>
      <c r="Y247" s="62" t="n"/>
      <c r="Z247" s="47" t="n"/>
      <c r="AA247" s="47" t="n"/>
      <c r="AB247" s="62" t="n"/>
    </row>
    <row r="248" ht="15.75" customHeight="1">
      <c r="A248" s="47" t="n"/>
      <c r="B248" s="48" t="n"/>
      <c r="C248" s="48" t="n"/>
      <c r="D248" s="48" t="n"/>
      <c r="E248" s="48" t="n"/>
      <c r="F248" s="48" t="n"/>
      <c r="G248" s="48" t="n"/>
      <c r="H248" s="48" t="n"/>
      <c r="I248" s="48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48" t="n"/>
      <c r="T248" s="61" t="n"/>
      <c r="U248" s="62" t="n"/>
      <c r="V248" s="62" t="n"/>
      <c r="W248" s="62" t="n"/>
      <c r="X248" s="47" t="n"/>
      <c r="Y248" s="62" t="n"/>
      <c r="Z248" s="47" t="n"/>
      <c r="AA248" s="47" t="n"/>
      <c r="AB248" s="62" t="n"/>
    </row>
    <row r="249" ht="15.75" customHeight="1">
      <c r="A249" s="47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48" t="n"/>
      <c r="T249" s="61" t="n"/>
      <c r="U249" s="62" t="n"/>
      <c r="V249" s="62" t="n"/>
      <c r="W249" s="62" t="n"/>
      <c r="X249" s="47" t="n"/>
      <c r="Y249" s="62" t="n"/>
      <c r="Z249" s="47" t="n"/>
      <c r="AA249" s="47" t="n"/>
      <c r="AB249" s="62" t="n"/>
    </row>
    <row r="250" ht="15.75" customHeight="1">
      <c r="A250" s="47" t="n"/>
      <c r="B250" s="48" t="n"/>
      <c r="C250" s="48" t="n"/>
      <c r="D250" s="48" t="n"/>
      <c r="E250" s="48" t="n"/>
      <c r="F250" s="48" t="n"/>
      <c r="G250" s="48" t="n"/>
      <c r="H250" s="48" t="n"/>
      <c r="I250" s="48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48" t="n"/>
      <c r="T250" s="61" t="n"/>
      <c r="U250" s="62" t="n"/>
      <c r="V250" s="62" t="n"/>
      <c r="W250" s="62" t="n"/>
      <c r="X250" s="47" t="n"/>
      <c r="Y250" s="62" t="n"/>
      <c r="Z250" s="47" t="n"/>
      <c r="AA250" s="47" t="n"/>
      <c r="AB250" s="62" t="n"/>
    </row>
    <row r="251" ht="15.75" customHeight="1">
      <c r="A251" s="47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48" t="n"/>
      <c r="T251" s="61" t="n"/>
      <c r="U251" s="62" t="n"/>
      <c r="V251" s="62" t="n"/>
      <c r="W251" s="62" t="n"/>
      <c r="X251" s="47" t="n"/>
      <c r="Y251" s="62" t="n"/>
      <c r="Z251" s="47" t="n"/>
      <c r="AA251" s="47" t="n"/>
      <c r="AB251" s="62" t="n"/>
    </row>
    <row r="252" ht="15.75" customHeight="1">
      <c r="A252" s="47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48" t="n"/>
      <c r="T252" s="61" t="n"/>
      <c r="U252" s="62" t="n"/>
      <c r="V252" s="62" t="n"/>
      <c r="W252" s="62" t="n"/>
      <c r="X252" s="47" t="n"/>
      <c r="Y252" s="62" t="n"/>
      <c r="Z252" s="47" t="n"/>
      <c r="AA252" s="47" t="n"/>
      <c r="AB252" s="62" t="n"/>
    </row>
    <row r="253" ht="15.75" customHeight="1">
      <c r="A253" s="47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48" t="n"/>
      <c r="T253" s="61" t="n"/>
      <c r="U253" s="62" t="n"/>
      <c r="V253" s="62" t="n"/>
      <c r="W253" s="62" t="n"/>
      <c r="X253" s="47" t="n"/>
      <c r="Y253" s="62" t="n"/>
      <c r="Z253" s="47" t="n"/>
      <c r="AA253" s="47" t="n"/>
      <c r="AB253" s="62" t="n"/>
    </row>
    <row r="254" ht="15.75" customHeight="1">
      <c r="A254" s="47" t="n"/>
      <c r="B254" s="48" t="n"/>
      <c r="C254" s="48" t="n"/>
      <c r="D254" s="48" t="n"/>
      <c r="E254" s="48" t="n"/>
      <c r="F254" s="48" t="n"/>
      <c r="G254" s="48" t="n"/>
      <c r="H254" s="48" t="n"/>
      <c r="I254" s="48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48" t="n"/>
      <c r="T254" s="61" t="n"/>
      <c r="U254" s="62" t="n"/>
      <c r="V254" s="62" t="n"/>
      <c r="W254" s="62" t="n"/>
      <c r="X254" s="47" t="n"/>
      <c r="Y254" s="62" t="n"/>
      <c r="Z254" s="47" t="n"/>
      <c r="AA254" s="47" t="n"/>
      <c r="AB254" s="62" t="n"/>
    </row>
    <row r="255" ht="15.75" customHeight="1">
      <c r="A255" s="47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48" t="n"/>
      <c r="T255" s="61" t="n"/>
      <c r="U255" s="62" t="n"/>
      <c r="V255" s="62" t="n"/>
      <c r="W255" s="62" t="n"/>
      <c r="X255" s="47" t="n"/>
      <c r="Y255" s="62" t="n"/>
      <c r="Z255" s="47" t="n"/>
      <c r="AA255" s="47" t="n"/>
      <c r="AB255" s="62" t="n"/>
    </row>
    <row r="256" ht="15.75" customHeight="1">
      <c r="A256" s="47" t="n"/>
      <c r="B256" s="48" t="n"/>
      <c r="C256" s="48" t="n"/>
      <c r="D256" s="48" t="n"/>
      <c r="E256" s="48" t="n"/>
      <c r="F256" s="48" t="n"/>
      <c r="G256" s="48" t="n"/>
      <c r="H256" s="48" t="n"/>
      <c r="I256" s="48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48" t="n"/>
      <c r="T256" s="61" t="n"/>
      <c r="U256" s="62" t="n"/>
      <c r="V256" s="62" t="n"/>
      <c r="W256" s="62" t="n"/>
      <c r="X256" s="47" t="n"/>
      <c r="Y256" s="62" t="n"/>
      <c r="Z256" s="47" t="n"/>
      <c r="AA256" s="47" t="n"/>
      <c r="AB256" s="62" t="n"/>
    </row>
    <row r="257" ht="15.75" customHeight="1">
      <c r="A257" s="47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48" t="n"/>
      <c r="T257" s="61" t="n"/>
      <c r="U257" s="62" t="n"/>
      <c r="V257" s="62" t="n"/>
      <c r="W257" s="62" t="n"/>
      <c r="X257" s="47" t="n"/>
      <c r="Y257" s="62" t="n"/>
      <c r="Z257" s="47" t="n"/>
      <c r="AA257" s="47" t="n"/>
      <c r="AB257" s="62" t="n"/>
    </row>
    <row r="258" ht="15.75" customHeight="1">
      <c r="A258" s="47" t="n"/>
      <c r="B258" s="48" t="n"/>
      <c r="C258" s="48" t="n"/>
      <c r="D258" s="48" t="n"/>
      <c r="E258" s="48" t="n"/>
      <c r="F258" s="48" t="n"/>
      <c r="G258" s="48" t="n"/>
      <c r="H258" s="48" t="n"/>
      <c r="I258" s="48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48" t="n"/>
      <c r="T258" s="61" t="n"/>
      <c r="U258" s="62" t="n"/>
      <c r="V258" s="62" t="n"/>
      <c r="W258" s="62" t="n"/>
      <c r="X258" s="47" t="n"/>
      <c r="Y258" s="62" t="n"/>
      <c r="Z258" s="47" t="n"/>
      <c r="AA258" s="47" t="n"/>
      <c r="AB258" s="62" t="n"/>
    </row>
    <row r="259" ht="15.75" customHeight="1">
      <c r="A259" s="47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48" t="n"/>
      <c r="T259" s="61" t="n"/>
      <c r="U259" s="62" t="n"/>
      <c r="V259" s="62" t="n"/>
      <c r="W259" s="62" t="n"/>
      <c r="X259" s="47" t="n"/>
      <c r="Y259" s="62" t="n"/>
      <c r="Z259" s="47" t="n"/>
      <c r="AA259" s="47" t="n"/>
      <c r="AB259" s="62" t="n"/>
    </row>
    <row r="260" ht="15.75" customHeight="1">
      <c r="A260" s="47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48" t="n"/>
      <c r="T260" s="61" t="n"/>
      <c r="U260" s="62" t="n"/>
      <c r="V260" s="62" t="n"/>
      <c r="W260" s="62" t="n"/>
      <c r="X260" s="47" t="n"/>
      <c r="Y260" s="62" t="n"/>
      <c r="Z260" s="47" t="n"/>
      <c r="AA260" s="47" t="n"/>
      <c r="AB260" s="62" t="n"/>
    </row>
    <row r="261" ht="15.75" customHeight="1">
      <c r="A261" s="47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48" t="n"/>
      <c r="T261" s="61" t="n"/>
      <c r="U261" s="62" t="n"/>
      <c r="V261" s="62" t="n"/>
      <c r="W261" s="62" t="n"/>
      <c r="X261" s="47" t="n"/>
      <c r="Y261" s="62" t="n"/>
      <c r="Z261" s="47" t="n"/>
      <c r="AA261" s="47" t="n"/>
      <c r="AB261" s="62" t="n"/>
    </row>
    <row r="262" ht="15.75" customHeight="1">
      <c r="A262" s="47" t="n"/>
      <c r="B262" s="48" t="n"/>
      <c r="C262" s="48" t="n"/>
      <c r="D262" s="48" t="n"/>
      <c r="E262" s="48" t="n"/>
      <c r="F262" s="48" t="n"/>
      <c r="G262" s="48" t="n"/>
      <c r="H262" s="48" t="n"/>
      <c r="I262" s="48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48" t="n"/>
      <c r="T262" s="61" t="n"/>
      <c r="U262" s="62" t="n"/>
      <c r="V262" s="62" t="n"/>
      <c r="W262" s="62" t="n"/>
      <c r="X262" s="47" t="n"/>
      <c r="Y262" s="62" t="n"/>
      <c r="Z262" s="47" t="n"/>
      <c r="AA262" s="47" t="n"/>
      <c r="AB262" s="62" t="n"/>
    </row>
    <row r="263" ht="15.75" customHeight="1">
      <c r="A263" s="47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48" t="n"/>
      <c r="T263" s="61" t="n"/>
      <c r="U263" s="62" t="n"/>
      <c r="V263" s="62" t="n"/>
      <c r="W263" s="62" t="n"/>
      <c r="X263" s="47" t="n"/>
      <c r="Y263" s="62" t="n"/>
      <c r="Z263" s="47" t="n"/>
      <c r="AA263" s="47" t="n"/>
      <c r="AB263" s="62" t="n"/>
    </row>
    <row r="264" ht="15.75" customHeight="1">
      <c r="A264" s="47" t="n"/>
      <c r="B264" s="48" t="n"/>
      <c r="C264" s="48" t="n"/>
      <c r="D264" s="48" t="n"/>
      <c r="E264" s="48" t="n"/>
      <c r="F264" s="48" t="n"/>
      <c r="G264" s="48" t="n"/>
      <c r="H264" s="48" t="n"/>
      <c r="I264" s="48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48" t="n"/>
      <c r="T264" s="61" t="n"/>
      <c r="U264" s="62" t="n"/>
      <c r="V264" s="62" t="n"/>
      <c r="W264" s="62" t="n"/>
      <c r="X264" s="47" t="n"/>
      <c r="Y264" s="62" t="n"/>
      <c r="Z264" s="47" t="n"/>
      <c r="AA264" s="47" t="n"/>
      <c r="AB264" s="62" t="n"/>
    </row>
    <row r="265" ht="15.75" customHeight="1">
      <c r="A265" s="47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48" t="n"/>
      <c r="T265" s="61" t="n"/>
      <c r="U265" s="62" t="n"/>
      <c r="V265" s="62" t="n"/>
      <c r="W265" s="62" t="n"/>
      <c r="X265" s="47" t="n"/>
      <c r="Y265" s="62" t="n"/>
      <c r="Z265" s="47" t="n"/>
      <c r="AA265" s="47" t="n"/>
      <c r="AB265" s="62" t="n"/>
    </row>
    <row r="266" ht="15.75" customHeight="1">
      <c r="A266" s="47" t="n"/>
      <c r="B266" s="48" t="n"/>
      <c r="C266" s="48" t="n"/>
      <c r="D266" s="48" t="n"/>
      <c r="E266" s="48" t="n"/>
      <c r="F266" s="48" t="n"/>
      <c r="G266" s="48" t="n"/>
      <c r="H266" s="48" t="n"/>
      <c r="I266" s="48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48" t="n"/>
      <c r="T266" s="61" t="n"/>
      <c r="U266" s="62" t="n"/>
      <c r="V266" s="62" t="n"/>
      <c r="W266" s="62" t="n"/>
      <c r="X266" s="47" t="n"/>
      <c r="Y266" s="62" t="n"/>
      <c r="Z266" s="47" t="n"/>
      <c r="AA266" s="47" t="n"/>
      <c r="AB266" s="62" t="n"/>
    </row>
    <row r="267" ht="15.75" customHeight="1">
      <c r="A267" s="47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48" t="n"/>
      <c r="T267" s="61" t="n"/>
      <c r="U267" s="62" t="n"/>
      <c r="V267" s="62" t="n"/>
      <c r="W267" s="62" t="n"/>
      <c r="X267" s="47" t="n"/>
      <c r="Y267" s="62" t="n"/>
      <c r="Z267" s="47" t="n"/>
      <c r="AA267" s="47" t="n"/>
      <c r="AB267" s="62" t="n"/>
    </row>
    <row r="268" ht="15.75" customHeight="1">
      <c r="A268" s="47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48" t="n"/>
      <c r="T268" s="61" t="n"/>
      <c r="U268" s="62" t="n"/>
      <c r="V268" s="62" t="n"/>
      <c r="W268" s="62" t="n"/>
      <c r="X268" s="47" t="n"/>
      <c r="Y268" s="62" t="n"/>
      <c r="Z268" s="47" t="n"/>
      <c r="AA268" s="47" t="n"/>
      <c r="AB268" s="62" t="n"/>
    </row>
    <row r="269" ht="15.75" customHeight="1">
      <c r="A269" s="47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48" t="n"/>
      <c r="T269" s="61" t="n"/>
      <c r="U269" s="62" t="n"/>
      <c r="V269" s="62" t="n"/>
      <c r="W269" s="62" t="n"/>
      <c r="X269" s="47" t="n"/>
      <c r="Y269" s="62" t="n"/>
      <c r="Z269" s="47" t="n"/>
      <c r="AA269" s="47" t="n"/>
      <c r="AB269" s="62" t="n"/>
    </row>
    <row r="270" ht="15.75" customHeight="1">
      <c r="A270" s="47" t="n"/>
      <c r="B270" s="48" t="n"/>
      <c r="C270" s="48" t="n"/>
      <c r="D270" s="48" t="n"/>
      <c r="E270" s="48" t="n"/>
      <c r="F270" s="48" t="n"/>
      <c r="G270" s="48" t="n"/>
      <c r="H270" s="48" t="n"/>
      <c r="I270" s="48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48" t="n"/>
      <c r="T270" s="61" t="n"/>
      <c r="U270" s="62" t="n"/>
      <c r="V270" s="62" t="n"/>
      <c r="W270" s="62" t="n"/>
      <c r="X270" s="47" t="n"/>
      <c r="Y270" s="62" t="n"/>
      <c r="Z270" s="47" t="n"/>
      <c r="AA270" s="47" t="n"/>
      <c r="AB270" s="62" t="n"/>
    </row>
    <row r="271" ht="15.75" customHeight="1">
      <c r="A271" s="47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48" t="n"/>
      <c r="T271" s="61" t="n"/>
      <c r="U271" s="62" t="n"/>
      <c r="V271" s="62" t="n"/>
      <c r="W271" s="62" t="n"/>
      <c r="X271" s="47" t="n"/>
      <c r="Y271" s="62" t="n"/>
      <c r="Z271" s="47" t="n"/>
      <c r="AA271" s="47" t="n"/>
      <c r="AB271" s="62" t="n"/>
    </row>
    <row r="272" ht="15.75" customHeight="1">
      <c r="A272" s="47" t="n"/>
      <c r="B272" s="48" t="n"/>
      <c r="C272" s="48" t="n"/>
      <c r="D272" s="48" t="n"/>
      <c r="E272" s="48" t="n"/>
      <c r="F272" s="48" t="n"/>
      <c r="G272" s="48" t="n"/>
      <c r="H272" s="48" t="n"/>
      <c r="I272" s="48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48" t="n"/>
      <c r="T272" s="61" t="n"/>
      <c r="U272" s="62" t="n"/>
      <c r="V272" s="62" t="n"/>
      <c r="W272" s="62" t="n"/>
      <c r="X272" s="47" t="n"/>
      <c r="Y272" s="62" t="n"/>
      <c r="Z272" s="47" t="n"/>
      <c r="AA272" s="47" t="n"/>
      <c r="AB272" s="62" t="n"/>
    </row>
    <row r="273" ht="15.75" customHeight="1">
      <c r="A273" s="47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48" t="n"/>
      <c r="T273" s="61" t="n"/>
      <c r="U273" s="62" t="n"/>
      <c r="V273" s="62" t="n"/>
      <c r="W273" s="62" t="n"/>
      <c r="X273" s="47" t="n"/>
      <c r="Y273" s="62" t="n"/>
      <c r="Z273" s="47" t="n"/>
      <c r="AA273" s="47" t="n"/>
      <c r="AB273" s="62" t="n"/>
    </row>
    <row r="274" ht="15.75" customHeight="1">
      <c r="A274" s="47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48" t="n"/>
      <c r="T274" s="61" t="n"/>
      <c r="U274" s="62" t="n"/>
      <c r="V274" s="62" t="n"/>
      <c r="W274" s="62" t="n"/>
      <c r="X274" s="47" t="n"/>
      <c r="Y274" s="62" t="n"/>
      <c r="Z274" s="47" t="n"/>
      <c r="AA274" s="47" t="n"/>
      <c r="AB274" s="62" t="n"/>
    </row>
    <row r="275" ht="15.75" customHeight="1">
      <c r="A275" s="47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48" t="n"/>
      <c r="T275" s="61" t="n"/>
      <c r="U275" s="62" t="n"/>
      <c r="V275" s="62" t="n"/>
      <c r="W275" s="62" t="n"/>
      <c r="X275" s="47" t="n"/>
      <c r="Y275" s="62" t="n"/>
      <c r="Z275" s="47" t="n"/>
      <c r="AA275" s="47" t="n"/>
      <c r="AB275" s="62" t="n"/>
    </row>
    <row r="276" ht="15.75" customHeight="1">
      <c r="A276" s="47" t="n"/>
      <c r="B276" s="48" t="n"/>
      <c r="C276" s="48" t="n"/>
      <c r="D276" s="48" t="n"/>
      <c r="E276" s="48" t="n"/>
      <c r="F276" s="48" t="n"/>
      <c r="G276" s="48" t="n"/>
      <c r="H276" s="48" t="n"/>
      <c r="I276" s="48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48" t="n"/>
      <c r="T276" s="61" t="n"/>
      <c r="U276" s="62" t="n"/>
      <c r="V276" s="62" t="n"/>
      <c r="W276" s="62" t="n"/>
      <c r="X276" s="47" t="n"/>
      <c r="Y276" s="62" t="n"/>
      <c r="Z276" s="47" t="n"/>
      <c r="AA276" s="47" t="n"/>
      <c r="AB276" s="62" t="n"/>
    </row>
    <row r="277" ht="15.75" customHeight="1">
      <c r="A277" s="47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48" t="n"/>
      <c r="T277" s="61" t="n"/>
      <c r="U277" s="62" t="n"/>
      <c r="V277" s="62" t="n"/>
      <c r="W277" s="62" t="n"/>
      <c r="X277" s="47" t="n"/>
      <c r="Y277" s="62" t="n"/>
      <c r="Z277" s="47" t="n"/>
      <c r="AA277" s="47" t="n"/>
      <c r="AB277" s="62" t="n"/>
    </row>
    <row r="278" ht="15.75" customHeight="1">
      <c r="A278" s="47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48" t="n"/>
      <c r="T278" s="61" t="n"/>
      <c r="U278" s="62" t="n"/>
      <c r="V278" s="62" t="n"/>
      <c r="W278" s="62" t="n"/>
      <c r="X278" s="47" t="n"/>
      <c r="Y278" s="62" t="n"/>
      <c r="Z278" s="47" t="n"/>
      <c r="AA278" s="47" t="n"/>
      <c r="AB278" s="62" t="n"/>
    </row>
    <row r="279" ht="15.75" customHeight="1">
      <c r="A279" s="47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48" t="n"/>
      <c r="T279" s="61" t="n"/>
      <c r="U279" s="62" t="n"/>
      <c r="V279" s="62" t="n"/>
      <c r="W279" s="62" t="n"/>
      <c r="X279" s="47" t="n"/>
      <c r="Y279" s="62" t="n"/>
      <c r="Z279" s="47" t="n"/>
      <c r="AA279" s="47" t="n"/>
      <c r="AB279" s="62" t="n"/>
    </row>
    <row r="280" ht="15.75" customHeight="1">
      <c r="A280" s="47" t="n"/>
      <c r="B280" s="48" t="n"/>
      <c r="C280" s="48" t="n"/>
      <c r="D280" s="48" t="n"/>
      <c r="E280" s="48" t="n"/>
      <c r="F280" s="48" t="n"/>
      <c r="G280" s="48" t="n"/>
      <c r="H280" s="48" t="n"/>
      <c r="I280" s="48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48" t="n"/>
      <c r="T280" s="61" t="n"/>
      <c r="U280" s="62" t="n"/>
      <c r="V280" s="62" t="n"/>
      <c r="W280" s="62" t="n"/>
      <c r="X280" s="47" t="n"/>
      <c r="Y280" s="62" t="n"/>
      <c r="Z280" s="47" t="n"/>
      <c r="AA280" s="47" t="n"/>
      <c r="AB280" s="62" t="n"/>
    </row>
    <row r="281" ht="15.75" customHeight="1">
      <c r="A281" s="47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48" t="n"/>
      <c r="T281" s="61" t="n"/>
      <c r="U281" s="62" t="n"/>
      <c r="V281" s="62" t="n"/>
      <c r="W281" s="62" t="n"/>
      <c r="X281" s="47" t="n"/>
      <c r="Y281" s="62" t="n"/>
      <c r="Z281" s="47" t="n"/>
      <c r="AA281" s="47" t="n"/>
      <c r="AB281" s="62" t="n"/>
    </row>
    <row r="282" ht="15.75" customHeight="1">
      <c r="A282" s="47" t="n"/>
      <c r="B282" s="48" t="n"/>
      <c r="C282" s="48" t="n"/>
      <c r="D282" s="48" t="n"/>
      <c r="E282" s="48" t="n"/>
      <c r="F282" s="48" t="n"/>
      <c r="G282" s="48" t="n"/>
      <c r="H282" s="48" t="n"/>
      <c r="I282" s="48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48" t="n"/>
      <c r="T282" s="61" t="n"/>
      <c r="U282" s="62" t="n"/>
      <c r="V282" s="62" t="n"/>
      <c r="W282" s="62" t="n"/>
      <c r="X282" s="47" t="n"/>
      <c r="Y282" s="62" t="n"/>
      <c r="Z282" s="47" t="n"/>
      <c r="AA282" s="47" t="n"/>
      <c r="AB282" s="62" t="n"/>
    </row>
    <row r="283" ht="15.75" customHeight="1">
      <c r="A283" s="47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48" t="n"/>
      <c r="T283" s="61" t="n"/>
      <c r="U283" s="62" t="n"/>
      <c r="V283" s="62" t="n"/>
      <c r="W283" s="62" t="n"/>
      <c r="X283" s="47" t="n"/>
      <c r="Y283" s="62" t="n"/>
      <c r="Z283" s="47" t="n"/>
      <c r="AA283" s="47" t="n"/>
      <c r="AB283" s="62" t="n"/>
    </row>
    <row r="284" ht="15.75" customHeight="1">
      <c r="A284" s="47" t="n"/>
      <c r="B284" s="48" t="n"/>
      <c r="C284" s="48" t="n"/>
      <c r="D284" s="48" t="n"/>
      <c r="E284" s="48" t="n"/>
      <c r="F284" s="48" t="n"/>
      <c r="G284" s="48" t="n"/>
      <c r="H284" s="48" t="n"/>
      <c r="I284" s="48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48" t="n"/>
      <c r="T284" s="61" t="n"/>
      <c r="U284" s="62" t="n"/>
      <c r="V284" s="62" t="n"/>
      <c r="W284" s="62" t="n"/>
      <c r="X284" s="47" t="n"/>
      <c r="Y284" s="62" t="n"/>
      <c r="Z284" s="47" t="n"/>
      <c r="AA284" s="47" t="n"/>
      <c r="AB284" s="62" t="n"/>
    </row>
    <row r="285" ht="15.75" customHeight="1">
      <c r="A285" s="47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48" t="n"/>
      <c r="T285" s="61" t="n"/>
      <c r="U285" s="62" t="n"/>
      <c r="V285" s="62" t="n"/>
      <c r="W285" s="62" t="n"/>
      <c r="X285" s="47" t="n"/>
      <c r="Y285" s="62" t="n"/>
      <c r="Z285" s="47" t="n"/>
      <c r="AA285" s="47" t="n"/>
      <c r="AB285" s="62" t="n"/>
    </row>
    <row r="286" ht="15.75" customHeight="1">
      <c r="A286" s="47" t="n"/>
      <c r="B286" s="48" t="n"/>
      <c r="C286" s="48" t="n"/>
      <c r="D286" s="48" t="n"/>
      <c r="E286" s="48" t="n"/>
      <c r="F286" s="48" t="n"/>
      <c r="G286" s="48" t="n"/>
      <c r="H286" s="48" t="n"/>
      <c r="I286" s="48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48" t="n"/>
      <c r="T286" s="61" t="n"/>
      <c r="U286" s="62" t="n"/>
      <c r="V286" s="62" t="n"/>
      <c r="W286" s="62" t="n"/>
      <c r="X286" s="47" t="n"/>
      <c r="Y286" s="62" t="n"/>
      <c r="Z286" s="47" t="n"/>
      <c r="AA286" s="47" t="n"/>
      <c r="AB286" s="62" t="n"/>
    </row>
    <row r="287" ht="15.75" customHeight="1">
      <c r="A287" s="47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48" t="n"/>
      <c r="T287" s="61" t="n"/>
      <c r="U287" s="62" t="n"/>
      <c r="V287" s="62" t="n"/>
      <c r="W287" s="62" t="n"/>
      <c r="X287" s="47" t="n"/>
      <c r="Y287" s="62" t="n"/>
      <c r="Z287" s="47" t="n"/>
      <c r="AA287" s="47" t="n"/>
      <c r="AB287" s="62" t="n"/>
    </row>
    <row r="288" ht="15.75" customHeight="1">
      <c r="A288" s="47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48" t="n"/>
      <c r="T288" s="61" t="n"/>
      <c r="U288" s="62" t="n"/>
      <c r="V288" s="62" t="n"/>
      <c r="W288" s="62" t="n"/>
      <c r="X288" s="47" t="n"/>
      <c r="Y288" s="62" t="n"/>
      <c r="Z288" s="47" t="n"/>
      <c r="AA288" s="47" t="n"/>
      <c r="AB288" s="62" t="n"/>
    </row>
    <row r="289" ht="15.75" customHeight="1">
      <c r="A289" s="47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48" t="n"/>
      <c r="T289" s="61" t="n"/>
      <c r="U289" s="62" t="n"/>
      <c r="V289" s="62" t="n"/>
      <c r="W289" s="62" t="n"/>
      <c r="X289" s="47" t="n"/>
      <c r="Y289" s="62" t="n"/>
      <c r="Z289" s="47" t="n"/>
      <c r="AA289" s="47" t="n"/>
      <c r="AB289" s="62" t="n"/>
    </row>
    <row r="290" ht="15.75" customHeight="1">
      <c r="A290" s="47" t="n"/>
      <c r="B290" s="48" t="n"/>
      <c r="C290" s="48" t="n"/>
      <c r="D290" s="48" t="n"/>
      <c r="E290" s="48" t="n"/>
      <c r="F290" s="48" t="n"/>
      <c r="G290" s="48" t="n"/>
      <c r="H290" s="48" t="n"/>
      <c r="I290" s="48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48" t="n"/>
      <c r="T290" s="61" t="n"/>
      <c r="U290" s="62" t="n"/>
      <c r="V290" s="62" t="n"/>
      <c r="W290" s="62" t="n"/>
      <c r="X290" s="47" t="n"/>
      <c r="Y290" s="62" t="n"/>
      <c r="Z290" s="47" t="n"/>
      <c r="AA290" s="47" t="n"/>
      <c r="AB290" s="62" t="n"/>
    </row>
    <row r="291" ht="15.75" customHeight="1">
      <c r="A291" s="47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48" t="n"/>
      <c r="T291" s="61" t="n"/>
      <c r="U291" s="62" t="n"/>
      <c r="V291" s="62" t="n"/>
      <c r="W291" s="62" t="n"/>
      <c r="X291" s="47" t="n"/>
      <c r="Y291" s="62" t="n"/>
      <c r="Z291" s="47" t="n"/>
      <c r="AA291" s="47" t="n"/>
      <c r="AB291" s="62" t="n"/>
    </row>
    <row r="292" ht="15.75" customHeight="1">
      <c r="A292" s="47" t="n"/>
      <c r="B292" s="48" t="n"/>
      <c r="C292" s="48" t="n"/>
      <c r="D292" s="48" t="n"/>
      <c r="E292" s="48" t="n"/>
      <c r="F292" s="48" t="n"/>
      <c r="G292" s="48" t="n"/>
      <c r="H292" s="48" t="n"/>
      <c r="I292" s="48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48" t="n"/>
      <c r="T292" s="61" t="n"/>
      <c r="U292" s="62" t="n"/>
      <c r="V292" s="62" t="n"/>
      <c r="W292" s="62" t="n"/>
      <c r="X292" s="47" t="n"/>
      <c r="Y292" s="62" t="n"/>
      <c r="Z292" s="47" t="n"/>
      <c r="AA292" s="47" t="n"/>
      <c r="AB292" s="62" t="n"/>
    </row>
    <row r="293" ht="15.75" customHeight="1">
      <c r="A293" s="47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48" t="n"/>
      <c r="T293" s="61" t="n"/>
      <c r="U293" s="62" t="n"/>
      <c r="V293" s="62" t="n"/>
      <c r="W293" s="62" t="n"/>
      <c r="X293" s="47" t="n"/>
      <c r="Y293" s="62" t="n"/>
      <c r="Z293" s="47" t="n"/>
      <c r="AA293" s="47" t="n"/>
      <c r="AB293" s="62" t="n"/>
    </row>
    <row r="294" ht="15.75" customHeight="1">
      <c r="A294" s="47" t="n"/>
      <c r="B294" s="48" t="n"/>
      <c r="C294" s="48" t="n"/>
      <c r="D294" s="48" t="n"/>
      <c r="E294" s="48" t="n"/>
      <c r="F294" s="48" t="n"/>
      <c r="G294" s="48" t="n"/>
      <c r="H294" s="48" t="n"/>
      <c r="I294" s="48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48" t="n"/>
      <c r="T294" s="61" t="n"/>
      <c r="U294" s="62" t="n"/>
      <c r="V294" s="62" t="n"/>
      <c r="W294" s="62" t="n"/>
      <c r="X294" s="47" t="n"/>
      <c r="Y294" s="62" t="n"/>
      <c r="Z294" s="47" t="n"/>
      <c r="AA294" s="47" t="n"/>
      <c r="AB294" s="62" t="n"/>
    </row>
    <row r="295" ht="15.75" customHeight="1">
      <c r="A295" s="47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48" t="n"/>
      <c r="T295" s="61" t="n"/>
      <c r="U295" s="62" t="n"/>
      <c r="V295" s="62" t="n"/>
      <c r="W295" s="62" t="n"/>
      <c r="X295" s="47" t="n"/>
      <c r="Y295" s="62" t="n"/>
      <c r="Z295" s="47" t="n"/>
      <c r="AA295" s="47" t="n"/>
      <c r="AB295" s="62" t="n"/>
    </row>
    <row r="296" ht="15.75" customHeight="1">
      <c r="A296" s="47" t="n"/>
      <c r="B296" s="48" t="n"/>
      <c r="C296" s="48" t="n"/>
      <c r="D296" s="48" t="n"/>
      <c r="E296" s="48" t="n"/>
      <c r="F296" s="48" t="n"/>
      <c r="G296" s="48" t="n"/>
      <c r="H296" s="48" t="n"/>
      <c r="I296" s="48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48" t="n"/>
      <c r="T296" s="61" t="n"/>
      <c r="U296" s="62" t="n"/>
      <c r="V296" s="62" t="n"/>
      <c r="W296" s="62" t="n"/>
      <c r="X296" s="47" t="n"/>
      <c r="Y296" s="62" t="n"/>
      <c r="Z296" s="47" t="n"/>
      <c r="AA296" s="47" t="n"/>
      <c r="AB296" s="62" t="n"/>
    </row>
    <row r="297" ht="15.75" customHeight="1">
      <c r="A297" s="47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48" t="n"/>
      <c r="T297" s="61" t="n"/>
      <c r="U297" s="62" t="n"/>
      <c r="V297" s="62" t="n"/>
      <c r="W297" s="62" t="n"/>
      <c r="X297" s="47" t="n"/>
      <c r="Y297" s="62" t="n"/>
      <c r="Z297" s="47" t="n"/>
      <c r="AA297" s="47" t="n"/>
      <c r="AB297" s="62" t="n"/>
    </row>
    <row r="298" ht="15.75" customHeight="1">
      <c r="A298" s="47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48" t="n"/>
      <c r="T298" s="61" t="n"/>
      <c r="U298" s="62" t="n"/>
      <c r="V298" s="62" t="n"/>
      <c r="W298" s="62" t="n"/>
      <c r="X298" s="47" t="n"/>
      <c r="Y298" s="62" t="n"/>
      <c r="Z298" s="47" t="n"/>
      <c r="AA298" s="47" t="n"/>
      <c r="AB298" s="62" t="n"/>
    </row>
    <row r="299" ht="15.75" customHeight="1">
      <c r="A299" s="47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48" t="n"/>
      <c r="T299" s="61" t="n"/>
      <c r="U299" s="62" t="n"/>
      <c r="V299" s="62" t="n"/>
      <c r="W299" s="62" t="n"/>
      <c r="X299" s="47" t="n"/>
      <c r="Y299" s="62" t="n"/>
      <c r="Z299" s="47" t="n"/>
      <c r="AA299" s="47" t="n"/>
      <c r="AB299" s="62" t="n"/>
    </row>
    <row r="300" ht="15.75" customHeight="1">
      <c r="A300" s="47" t="n"/>
      <c r="B300" s="48" t="n"/>
      <c r="C300" s="48" t="n"/>
      <c r="D300" s="48" t="n"/>
      <c r="E300" s="48" t="n"/>
      <c r="F300" s="48" t="n"/>
      <c r="G300" s="48" t="n"/>
      <c r="H300" s="48" t="n"/>
      <c r="I300" s="48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48" t="n"/>
      <c r="T300" s="61" t="n"/>
      <c r="U300" s="62" t="n"/>
      <c r="V300" s="62" t="n"/>
      <c r="W300" s="62" t="n"/>
      <c r="X300" s="47" t="n"/>
      <c r="Y300" s="62" t="n"/>
      <c r="Z300" s="47" t="n"/>
      <c r="AA300" s="47" t="n"/>
      <c r="AB300" s="62" t="n"/>
    </row>
    <row r="301" ht="15.75" customHeight="1">
      <c r="A301" s="47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48" t="n"/>
      <c r="T301" s="61" t="n"/>
      <c r="U301" s="62" t="n"/>
      <c r="V301" s="62" t="n"/>
      <c r="W301" s="62" t="n"/>
      <c r="X301" s="47" t="n"/>
      <c r="Y301" s="62" t="n"/>
      <c r="Z301" s="47" t="n"/>
      <c r="AA301" s="47" t="n"/>
      <c r="AB301" s="62" t="n"/>
    </row>
    <row r="302" ht="15.75" customHeight="1">
      <c r="A302" s="47" t="n"/>
      <c r="B302" s="48" t="n"/>
      <c r="C302" s="48" t="n"/>
      <c r="D302" s="48" t="n"/>
      <c r="E302" s="48" t="n"/>
      <c r="F302" s="48" t="n"/>
      <c r="G302" s="48" t="n"/>
      <c r="H302" s="48" t="n"/>
      <c r="I302" s="48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48" t="n"/>
      <c r="T302" s="61" t="n"/>
      <c r="U302" s="62" t="n"/>
      <c r="V302" s="62" t="n"/>
      <c r="W302" s="62" t="n"/>
      <c r="X302" s="47" t="n"/>
      <c r="Y302" s="62" t="n"/>
      <c r="Z302" s="47" t="n"/>
      <c r="AA302" s="47" t="n"/>
      <c r="AB302" s="62" t="n"/>
    </row>
    <row r="303" ht="15.75" customHeight="1">
      <c r="A303" s="47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48" t="n"/>
      <c r="T303" s="61" t="n"/>
      <c r="U303" s="62" t="n"/>
      <c r="V303" s="62" t="n"/>
      <c r="W303" s="62" t="n"/>
      <c r="X303" s="47" t="n"/>
      <c r="Y303" s="62" t="n"/>
      <c r="Z303" s="47" t="n"/>
      <c r="AA303" s="47" t="n"/>
      <c r="AB303" s="62" t="n"/>
    </row>
    <row r="304" ht="15.75" customHeight="1">
      <c r="A304" s="47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48" t="n"/>
      <c r="T304" s="61" t="n"/>
      <c r="U304" s="62" t="n"/>
      <c r="V304" s="62" t="n"/>
      <c r="W304" s="62" t="n"/>
      <c r="X304" s="47" t="n"/>
      <c r="Y304" s="62" t="n"/>
      <c r="Z304" s="47" t="n"/>
      <c r="AA304" s="47" t="n"/>
      <c r="AB304" s="62" t="n"/>
    </row>
    <row r="305" ht="15.75" customHeight="1">
      <c r="A305" s="47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48" t="n"/>
      <c r="T305" s="61" t="n"/>
      <c r="U305" s="62" t="n"/>
      <c r="V305" s="62" t="n"/>
      <c r="W305" s="62" t="n"/>
      <c r="X305" s="47" t="n"/>
      <c r="Y305" s="62" t="n"/>
      <c r="Z305" s="47" t="n"/>
      <c r="AA305" s="47" t="n"/>
      <c r="AB305" s="62" t="n"/>
    </row>
    <row r="306" ht="15.75" customHeight="1">
      <c r="A306" s="47" t="n"/>
      <c r="B306" s="48" t="n"/>
      <c r="C306" s="48" t="n"/>
      <c r="D306" s="48" t="n"/>
      <c r="E306" s="48" t="n"/>
      <c r="F306" s="48" t="n"/>
      <c r="G306" s="48" t="n"/>
      <c r="H306" s="48" t="n"/>
      <c r="I306" s="48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48" t="n"/>
      <c r="T306" s="61" t="n"/>
      <c r="U306" s="62" t="n"/>
      <c r="V306" s="62" t="n"/>
      <c r="W306" s="62" t="n"/>
      <c r="X306" s="47" t="n"/>
      <c r="Y306" s="62" t="n"/>
      <c r="Z306" s="47" t="n"/>
      <c r="AA306" s="47" t="n"/>
      <c r="AB306" s="62" t="n"/>
    </row>
    <row r="307" ht="15.75" customHeight="1">
      <c r="A307" s="47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48" t="n"/>
      <c r="T307" s="61" t="n"/>
      <c r="U307" s="62" t="n"/>
      <c r="V307" s="62" t="n"/>
      <c r="W307" s="62" t="n"/>
      <c r="X307" s="47" t="n"/>
      <c r="Y307" s="62" t="n"/>
      <c r="Z307" s="47" t="n"/>
      <c r="AA307" s="47" t="n"/>
      <c r="AB307" s="62" t="n"/>
    </row>
    <row r="308" ht="15.75" customHeight="1">
      <c r="A308" s="47" t="n"/>
      <c r="B308" s="48" t="n"/>
      <c r="C308" s="48" t="n"/>
      <c r="D308" s="48" t="n"/>
      <c r="E308" s="48" t="n"/>
      <c r="F308" s="48" t="n"/>
      <c r="G308" s="48" t="n"/>
      <c r="H308" s="48" t="n"/>
      <c r="I308" s="48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48" t="n"/>
      <c r="T308" s="61" t="n"/>
      <c r="U308" s="62" t="n"/>
      <c r="V308" s="62" t="n"/>
      <c r="W308" s="62" t="n"/>
      <c r="X308" s="47" t="n"/>
      <c r="Y308" s="62" t="n"/>
      <c r="Z308" s="47" t="n"/>
      <c r="AA308" s="47" t="n"/>
      <c r="AB308" s="62" t="n"/>
    </row>
    <row r="309" ht="15.75" customHeight="1">
      <c r="A309" s="47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48" t="n"/>
      <c r="T309" s="61" t="n"/>
      <c r="U309" s="62" t="n"/>
      <c r="V309" s="62" t="n"/>
      <c r="W309" s="62" t="n"/>
      <c r="X309" s="47" t="n"/>
      <c r="Y309" s="62" t="n"/>
      <c r="Z309" s="47" t="n"/>
      <c r="AA309" s="47" t="n"/>
      <c r="AB309" s="62" t="n"/>
    </row>
    <row r="310" ht="15.75" customHeight="1">
      <c r="A310" s="47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48" t="n"/>
      <c r="T310" s="61" t="n"/>
      <c r="U310" s="62" t="n"/>
      <c r="V310" s="62" t="n"/>
      <c r="W310" s="62" t="n"/>
      <c r="X310" s="47" t="n"/>
      <c r="Y310" s="62" t="n"/>
      <c r="Z310" s="47" t="n"/>
      <c r="AA310" s="47" t="n"/>
      <c r="AB310" s="62" t="n"/>
    </row>
    <row r="311" ht="15.75" customHeight="1">
      <c r="A311" s="47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48" t="n"/>
      <c r="T311" s="61" t="n"/>
      <c r="U311" s="62" t="n"/>
      <c r="V311" s="62" t="n"/>
      <c r="W311" s="62" t="n"/>
      <c r="X311" s="47" t="n"/>
      <c r="Y311" s="62" t="n"/>
      <c r="Z311" s="47" t="n"/>
      <c r="AA311" s="47" t="n"/>
      <c r="AB311" s="62" t="n"/>
    </row>
    <row r="312" ht="15.75" customHeight="1">
      <c r="A312" s="47" t="n"/>
      <c r="B312" s="48" t="n"/>
      <c r="C312" s="48" t="n"/>
      <c r="D312" s="48" t="n"/>
      <c r="E312" s="48" t="n"/>
      <c r="F312" s="48" t="n"/>
      <c r="G312" s="48" t="n"/>
      <c r="H312" s="48" t="n"/>
      <c r="I312" s="48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48" t="n"/>
      <c r="T312" s="61" t="n"/>
      <c r="U312" s="62" t="n"/>
      <c r="V312" s="62" t="n"/>
      <c r="W312" s="62" t="n"/>
      <c r="X312" s="47" t="n"/>
      <c r="Y312" s="62" t="n"/>
      <c r="Z312" s="47" t="n"/>
      <c r="AA312" s="47" t="n"/>
      <c r="AB312" s="62" t="n"/>
    </row>
    <row r="313" ht="15.75" customHeight="1">
      <c r="A313" s="47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48" t="n"/>
      <c r="T313" s="61" t="n"/>
      <c r="U313" s="62" t="n"/>
      <c r="V313" s="62" t="n"/>
      <c r="W313" s="62" t="n"/>
      <c r="X313" s="47" t="n"/>
      <c r="Y313" s="62" t="n"/>
      <c r="Z313" s="47" t="n"/>
      <c r="AA313" s="47" t="n"/>
      <c r="AB313" s="62" t="n"/>
    </row>
    <row r="314" ht="15.75" customHeight="1">
      <c r="A314" s="47" t="n"/>
      <c r="B314" s="48" t="n"/>
      <c r="C314" s="48" t="n"/>
      <c r="D314" s="48" t="n"/>
      <c r="E314" s="48" t="n"/>
      <c r="F314" s="48" t="n"/>
      <c r="G314" s="48" t="n"/>
      <c r="H314" s="48" t="n"/>
      <c r="I314" s="48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48" t="n"/>
      <c r="T314" s="61" t="n"/>
      <c r="U314" s="62" t="n"/>
      <c r="V314" s="62" t="n"/>
      <c r="W314" s="62" t="n"/>
      <c r="X314" s="47" t="n"/>
      <c r="Y314" s="62" t="n"/>
      <c r="Z314" s="47" t="n"/>
      <c r="AA314" s="47" t="n"/>
      <c r="AB314" s="62" t="n"/>
    </row>
    <row r="315" ht="15.75" customHeight="1">
      <c r="A315" s="47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48" t="n"/>
      <c r="T315" s="61" t="n"/>
      <c r="U315" s="62" t="n"/>
      <c r="V315" s="62" t="n"/>
      <c r="W315" s="62" t="n"/>
      <c r="X315" s="47" t="n"/>
      <c r="Y315" s="62" t="n"/>
      <c r="Z315" s="47" t="n"/>
      <c r="AA315" s="47" t="n"/>
      <c r="AB315" s="62" t="n"/>
    </row>
    <row r="316" ht="15.75" customHeight="1">
      <c r="A316" s="47" t="n"/>
      <c r="B316" s="48" t="n"/>
      <c r="C316" s="48" t="n"/>
      <c r="D316" s="48" t="n"/>
      <c r="E316" s="48" t="n"/>
      <c r="F316" s="48" t="n"/>
      <c r="G316" s="48" t="n"/>
      <c r="H316" s="48" t="n"/>
      <c r="I316" s="48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48" t="n"/>
      <c r="T316" s="61" t="n"/>
      <c r="U316" s="62" t="n"/>
      <c r="V316" s="62" t="n"/>
      <c r="W316" s="62" t="n"/>
      <c r="X316" s="47" t="n"/>
      <c r="Y316" s="62" t="n"/>
      <c r="Z316" s="47" t="n"/>
      <c r="AA316" s="47" t="n"/>
      <c r="AB316" s="62" t="n"/>
    </row>
    <row r="317" ht="15.75" customHeight="1">
      <c r="A317" s="47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48" t="n"/>
      <c r="T317" s="61" t="n"/>
      <c r="U317" s="62" t="n"/>
      <c r="V317" s="62" t="n"/>
      <c r="W317" s="62" t="n"/>
      <c r="X317" s="47" t="n"/>
      <c r="Y317" s="62" t="n"/>
      <c r="Z317" s="47" t="n"/>
      <c r="AA317" s="47" t="n"/>
      <c r="AB317" s="62" t="n"/>
    </row>
    <row r="318" ht="15.75" customHeight="1">
      <c r="A318" s="47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48" t="n"/>
      <c r="T318" s="61" t="n"/>
      <c r="U318" s="62" t="n"/>
      <c r="V318" s="62" t="n"/>
      <c r="W318" s="62" t="n"/>
      <c r="X318" s="47" t="n"/>
      <c r="Y318" s="62" t="n"/>
      <c r="Z318" s="47" t="n"/>
      <c r="AA318" s="47" t="n"/>
      <c r="AB318" s="62" t="n"/>
    </row>
    <row r="319" ht="15.75" customHeight="1">
      <c r="A319" s="47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48" t="n"/>
      <c r="T319" s="61" t="n"/>
      <c r="U319" s="62" t="n"/>
      <c r="V319" s="62" t="n"/>
      <c r="W319" s="62" t="n"/>
      <c r="X319" s="47" t="n"/>
      <c r="Y319" s="62" t="n"/>
      <c r="Z319" s="47" t="n"/>
      <c r="AA319" s="47" t="n"/>
      <c r="AB319" s="62" t="n"/>
    </row>
    <row r="320" ht="15.75" customHeight="1">
      <c r="A320" s="47" t="n"/>
      <c r="B320" s="48" t="n"/>
      <c r="C320" s="48" t="n"/>
      <c r="D320" s="48" t="n"/>
      <c r="E320" s="48" t="n"/>
      <c r="F320" s="48" t="n"/>
      <c r="G320" s="48" t="n"/>
      <c r="H320" s="48" t="n"/>
      <c r="I320" s="48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48" t="n"/>
      <c r="T320" s="61" t="n"/>
      <c r="U320" s="62" t="n"/>
      <c r="V320" s="62" t="n"/>
      <c r="W320" s="62" t="n"/>
      <c r="X320" s="47" t="n"/>
      <c r="Y320" s="62" t="n"/>
      <c r="Z320" s="47" t="n"/>
      <c r="AA320" s="47" t="n"/>
      <c r="AB320" s="62" t="n"/>
    </row>
    <row r="321" ht="15.75" customHeight="1">
      <c r="A321" s="47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48" t="n"/>
      <c r="T321" s="61" t="n"/>
      <c r="U321" s="62" t="n"/>
      <c r="V321" s="62" t="n"/>
      <c r="W321" s="62" t="n"/>
      <c r="X321" s="47" t="n"/>
      <c r="Y321" s="62" t="n"/>
      <c r="Z321" s="47" t="n"/>
      <c r="AA321" s="47" t="n"/>
      <c r="AB321" s="62" t="n"/>
    </row>
    <row r="322" ht="15.75" customHeight="1">
      <c r="A322" s="47" t="n"/>
      <c r="B322" s="48" t="n"/>
      <c r="C322" s="48" t="n"/>
      <c r="D322" s="48" t="n"/>
      <c r="E322" s="48" t="n"/>
      <c r="F322" s="48" t="n"/>
      <c r="G322" s="48" t="n"/>
      <c r="H322" s="48" t="n"/>
      <c r="I322" s="48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48" t="n"/>
      <c r="T322" s="61" t="n"/>
      <c r="U322" s="62" t="n"/>
      <c r="V322" s="62" t="n"/>
      <c r="W322" s="62" t="n"/>
      <c r="X322" s="47" t="n"/>
      <c r="Y322" s="62" t="n"/>
      <c r="Z322" s="47" t="n"/>
      <c r="AA322" s="47" t="n"/>
      <c r="AB322" s="62" t="n"/>
    </row>
    <row r="323" ht="15.75" customHeight="1">
      <c r="A323" s="47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48" t="n"/>
      <c r="T323" s="61" t="n"/>
      <c r="U323" s="62" t="n"/>
      <c r="V323" s="62" t="n"/>
      <c r="W323" s="62" t="n"/>
      <c r="X323" s="47" t="n"/>
      <c r="Y323" s="62" t="n"/>
      <c r="Z323" s="47" t="n"/>
      <c r="AA323" s="47" t="n"/>
      <c r="AB323" s="62" t="n"/>
    </row>
    <row r="324" ht="15.75" customHeight="1">
      <c r="A324" s="47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48" t="n"/>
      <c r="T324" s="61" t="n"/>
      <c r="U324" s="62" t="n"/>
      <c r="V324" s="62" t="n"/>
      <c r="W324" s="62" t="n"/>
      <c r="X324" s="47" t="n"/>
      <c r="Y324" s="62" t="n"/>
      <c r="Z324" s="47" t="n"/>
      <c r="AA324" s="47" t="n"/>
      <c r="AB324" s="62" t="n"/>
    </row>
    <row r="325" ht="15.75" customHeight="1">
      <c r="A325" s="47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48" t="n"/>
      <c r="T325" s="61" t="n"/>
      <c r="U325" s="62" t="n"/>
      <c r="V325" s="62" t="n"/>
      <c r="W325" s="62" t="n"/>
      <c r="X325" s="47" t="n"/>
      <c r="Y325" s="62" t="n"/>
      <c r="Z325" s="47" t="n"/>
      <c r="AA325" s="47" t="n"/>
      <c r="AB325" s="62" t="n"/>
    </row>
    <row r="326" ht="15.75" customHeight="1">
      <c r="A326" s="47" t="n"/>
      <c r="B326" s="48" t="n"/>
      <c r="C326" s="48" t="n"/>
      <c r="D326" s="48" t="n"/>
      <c r="E326" s="48" t="n"/>
      <c r="F326" s="48" t="n"/>
      <c r="G326" s="48" t="n"/>
      <c r="H326" s="48" t="n"/>
      <c r="I326" s="48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48" t="n"/>
      <c r="T326" s="61" t="n"/>
      <c r="U326" s="62" t="n"/>
      <c r="V326" s="62" t="n"/>
      <c r="W326" s="62" t="n"/>
      <c r="X326" s="47" t="n"/>
      <c r="Y326" s="62" t="n"/>
      <c r="Z326" s="47" t="n"/>
      <c r="AA326" s="47" t="n"/>
      <c r="AB326" s="62" t="n"/>
    </row>
    <row r="327" ht="15.75" customHeight="1">
      <c r="A327" s="47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48" t="n"/>
      <c r="T327" s="61" t="n"/>
      <c r="U327" s="62" t="n"/>
      <c r="V327" s="62" t="n"/>
      <c r="W327" s="62" t="n"/>
      <c r="X327" s="47" t="n"/>
      <c r="Y327" s="62" t="n"/>
      <c r="Z327" s="47" t="n"/>
      <c r="AA327" s="47" t="n"/>
      <c r="AB327" s="62" t="n"/>
    </row>
    <row r="328" ht="15.75" customHeight="1">
      <c r="A328" s="47" t="n"/>
      <c r="B328" s="48" t="n"/>
      <c r="C328" s="48" t="n"/>
      <c r="D328" s="48" t="n"/>
      <c r="E328" s="48" t="n"/>
      <c r="F328" s="48" t="n"/>
      <c r="G328" s="48" t="n"/>
      <c r="H328" s="48" t="n"/>
      <c r="I328" s="48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48" t="n"/>
      <c r="T328" s="61" t="n"/>
      <c r="U328" s="62" t="n"/>
      <c r="V328" s="62" t="n"/>
      <c r="W328" s="62" t="n"/>
      <c r="X328" s="47" t="n"/>
      <c r="Y328" s="62" t="n"/>
      <c r="Z328" s="47" t="n"/>
      <c r="AA328" s="47" t="n"/>
      <c r="AB328" s="62" t="n"/>
    </row>
    <row r="329" ht="15.75" customHeight="1">
      <c r="A329" s="47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48" t="n"/>
      <c r="T329" s="61" t="n"/>
      <c r="U329" s="62" t="n"/>
      <c r="V329" s="62" t="n"/>
      <c r="W329" s="62" t="n"/>
      <c r="X329" s="47" t="n"/>
      <c r="Y329" s="62" t="n"/>
      <c r="Z329" s="47" t="n"/>
      <c r="AA329" s="47" t="n"/>
      <c r="AB329" s="62" t="n"/>
    </row>
    <row r="330" ht="15.75" customHeight="1">
      <c r="A330" s="47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48" t="n"/>
      <c r="T330" s="61" t="n"/>
      <c r="U330" s="62" t="n"/>
      <c r="V330" s="62" t="n"/>
      <c r="W330" s="62" t="n"/>
      <c r="X330" s="47" t="n"/>
      <c r="Y330" s="62" t="n"/>
      <c r="Z330" s="47" t="n"/>
      <c r="AA330" s="47" t="n"/>
      <c r="AB330" s="62" t="n"/>
    </row>
    <row r="331" ht="15.75" customHeight="1">
      <c r="A331" s="47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48" t="n"/>
      <c r="T331" s="61" t="n"/>
      <c r="U331" s="62" t="n"/>
      <c r="V331" s="62" t="n"/>
      <c r="W331" s="62" t="n"/>
      <c r="X331" s="47" t="n"/>
      <c r="Y331" s="62" t="n"/>
      <c r="Z331" s="47" t="n"/>
      <c r="AA331" s="47" t="n"/>
      <c r="AB331" s="62" t="n"/>
    </row>
    <row r="332" ht="15.75" customHeight="1">
      <c r="A332" s="47" t="n"/>
      <c r="B332" s="48" t="n"/>
      <c r="C332" s="48" t="n"/>
      <c r="D332" s="48" t="n"/>
      <c r="E332" s="48" t="n"/>
      <c r="F332" s="48" t="n"/>
      <c r="G332" s="48" t="n"/>
      <c r="H332" s="48" t="n"/>
      <c r="I332" s="48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48" t="n"/>
      <c r="T332" s="61" t="n"/>
      <c r="U332" s="62" t="n"/>
      <c r="V332" s="62" t="n"/>
      <c r="W332" s="62" t="n"/>
      <c r="X332" s="47" t="n"/>
      <c r="Y332" s="62" t="n"/>
      <c r="Z332" s="47" t="n"/>
      <c r="AA332" s="47" t="n"/>
      <c r="AB332" s="62" t="n"/>
    </row>
    <row r="333" ht="15.75" customHeight="1">
      <c r="A333" s="47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48" t="n"/>
      <c r="T333" s="61" t="n"/>
      <c r="U333" s="62" t="n"/>
      <c r="V333" s="62" t="n"/>
      <c r="W333" s="62" t="n"/>
      <c r="X333" s="47" t="n"/>
      <c r="Y333" s="62" t="n"/>
      <c r="Z333" s="47" t="n"/>
      <c r="AA333" s="47" t="n"/>
      <c r="AB333" s="62" t="n"/>
    </row>
    <row r="334" ht="15.75" customHeight="1">
      <c r="A334" s="47" t="n"/>
      <c r="B334" s="48" t="n"/>
      <c r="C334" s="48" t="n"/>
      <c r="D334" s="48" t="n"/>
      <c r="E334" s="48" t="n"/>
      <c r="F334" s="48" t="n"/>
      <c r="G334" s="48" t="n"/>
      <c r="H334" s="48" t="n"/>
      <c r="I334" s="48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48" t="n"/>
      <c r="T334" s="61" t="n"/>
      <c r="U334" s="62" t="n"/>
      <c r="V334" s="62" t="n"/>
      <c r="W334" s="62" t="n"/>
      <c r="X334" s="47" t="n"/>
      <c r="Y334" s="62" t="n"/>
      <c r="Z334" s="47" t="n"/>
      <c r="AA334" s="47" t="n"/>
      <c r="AB334" s="62" t="n"/>
    </row>
    <row r="335" ht="15.75" customHeight="1">
      <c r="A335" s="47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48" t="n"/>
      <c r="T335" s="61" t="n"/>
      <c r="U335" s="62" t="n"/>
      <c r="V335" s="62" t="n"/>
      <c r="W335" s="62" t="n"/>
      <c r="X335" s="47" t="n"/>
      <c r="Y335" s="62" t="n"/>
      <c r="Z335" s="47" t="n"/>
      <c r="AA335" s="47" t="n"/>
      <c r="AB335" s="62" t="n"/>
    </row>
    <row r="336" ht="15.75" customHeight="1">
      <c r="A336" s="47" t="n"/>
      <c r="B336" s="48" t="n"/>
      <c r="C336" s="48" t="n"/>
      <c r="D336" s="48" t="n"/>
      <c r="E336" s="48" t="n"/>
      <c r="F336" s="48" t="n"/>
      <c r="G336" s="48" t="n"/>
      <c r="H336" s="48" t="n"/>
      <c r="I336" s="48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48" t="n"/>
      <c r="T336" s="61" t="n"/>
      <c r="U336" s="62" t="n"/>
      <c r="V336" s="62" t="n"/>
      <c r="W336" s="62" t="n"/>
      <c r="X336" s="47" t="n"/>
      <c r="Y336" s="62" t="n"/>
      <c r="Z336" s="47" t="n"/>
      <c r="AA336" s="47" t="n"/>
      <c r="AB336" s="62" t="n"/>
    </row>
    <row r="337" ht="15.75" customHeight="1">
      <c r="A337" s="47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48" t="n"/>
      <c r="T337" s="61" t="n"/>
      <c r="U337" s="62" t="n"/>
      <c r="V337" s="62" t="n"/>
      <c r="W337" s="62" t="n"/>
      <c r="X337" s="47" t="n"/>
      <c r="Y337" s="62" t="n"/>
      <c r="Z337" s="47" t="n"/>
      <c r="AA337" s="47" t="n"/>
      <c r="AB337" s="62" t="n"/>
    </row>
    <row r="338" ht="15.75" customHeight="1">
      <c r="A338" s="47" t="n"/>
      <c r="B338" s="48" t="n"/>
      <c r="C338" s="48" t="n"/>
      <c r="D338" s="48" t="n"/>
      <c r="E338" s="48" t="n"/>
      <c r="F338" s="48" t="n"/>
      <c r="G338" s="48" t="n"/>
      <c r="H338" s="48" t="n"/>
      <c r="I338" s="48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48" t="n"/>
      <c r="T338" s="61" t="n"/>
      <c r="U338" s="62" t="n"/>
      <c r="V338" s="62" t="n"/>
      <c r="W338" s="62" t="n"/>
      <c r="X338" s="47" t="n"/>
      <c r="Y338" s="62" t="n"/>
      <c r="Z338" s="47" t="n"/>
      <c r="AA338" s="47" t="n"/>
      <c r="AB338" s="62" t="n"/>
    </row>
    <row r="339" ht="15.75" customHeight="1">
      <c r="A339" s="47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48" t="n"/>
      <c r="T339" s="61" t="n"/>
      <c r="U339" s="62" t="n"/>
      <c r="V339" s="62" t="n"/>
      <c r="W339" s="62" t="n"/>
      <c r="X339" s="47" t="n"/>
      <c r="Y339" s="62" t="n"/>
      <c r="Z339" s="47" t="n"/>
      <c r="AA339" s="47" t="n"/>
      <c r="AB339" s="62" t="n"/>
    </row>
    <row r="340" ht="15.75" customHeight="1">
      <c r="A340" s="47" t="n"/>
      <c r="B340" s="48" t="n"/>
      <c r="C340" s="48" t="n"/>
      <c r="D340" s="48" t="n"/>
      <c r="E340" s="48" t="n"/>
      <c r="F340" s="48" t="n"/>
      <c r="G340" s="48" t="n"/>
      <c r="H340" s="48" t="n"/>
      <c r="I340" s="48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48" t="n"/>
      <c r="T340" s="61" t="n"/>
      <c r="U340" s="62" t="n"/>
      <c r="V340" s="62" t="n"/>
      <c r="W340" s="62" t="n"/>
      <c r="X340" s="47" t="n"/>
      <c r="Y340" s="62" t="n"/>
      <c r="Z340" s="47" t="n"/>
      <c r="AA340" s="47" t="n"/>
      <c r="AB340" s="62" t="n"/>
    </row>
    <row r="341" ht="15.75" customHeight="1">
      <c r="A341" s="47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48" t="n"/>
      <c r="T341" s="61" t="n"/>
      <c r="U341" s="62" t="n"/>
      <c r="V341" s="62" t="n"/>
      <c r="W341" s="62" t="n"/>
      <c r="X341" s="47" t="n"/>
      <c r="Y341" s="62" t="n"/>
      <c r="Z341" s="47" t="n"/>
      <c r="AA341" s="47" t="n"/>
      <c r="AB341" s="62" t="n"/>
    </row>
    <row r="342" ht="15.75" customHeight="1">
      <c r="A342" s="47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48" t="n"/>
      <c r="T342" s="61" t="n"/>
      <c r="U342" s="62" t="n"/>
      <c r="V342" s="62" t="n"/>
      <c r="W342" s="62" t="n"/>
      <c r="X342" s="47" t="n"/>
      <c r="Y342" s="62" t="n"/>
      <c r="Z342" s="47" t="n"/>
      <c r="AA342" s="47" t="n"/>
      <c r="AB342" s="62" t="n"/>
    </row>
    <row r="343" ht="15.75" customHeight="1">
      <c r="A343" s="47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48" t="n"/>
      <c r="T343" s="61" t="n"/>
      <c r="U343" s="62" t="n"/>
      <c r="V343" s="62" t="n"/>
      <c r="W343" s="62" t="n"/>
      <c r="X343" s="47" t="n"/>
      <c r="Y343" s="62" t="n"/>
      <c r="Z343" s="47" t="n"/>
      <c r="AA343" s="47" t="n"/>
      <c r="AB343" s="62" t="n"/>
    </row>
    <row r="344" ht="15.75" customHeight="1">
      <c r="A344" s="47" t="n"/>
      <c r="B344" s="48" t="n"/>
      <c r="C344" s="48" t="n"/>
      <c r="D344" s="48" t="n"/>
      <c r="E344" s="48" t="n"/>
      <c r="F344" s="48" t="n"/>
      <c r="G344" s="48" t="n"/>
      <c r="H344" s="48" t="n"/>
      <c r="I344" s="48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48" t="n"/>
      <c r="T344" s="61" t="n"/>
      <c r="U344" s="62" t="n"/>
      <c r="V344" s="62" t="n"/>
      <c r="W344" s="62" t="n"/>
      <c r="X344" s="47" t="n"/>
      <c r="Y344" s="62" t="n"/>
      <c r="Z344" s="47" t="n"/>
      <c r="AA344" s="47" t="n"/>
      <c r="AB344" s="62" t="n"/>
    </row>
    <row r="345" ht="15.75" customHeight="1">
      <c r="A345" s="47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48" t="n"/>
      <c r="T345" s="61" t="n"/>
      <c r="U345" s="62" t="n"/>
      <c r="V345" s="62" t="n"/>
      <c r="W345" s="62" t="n"/>
      <c r="X345" s="47" t="n"/>
      <c r="Y345" s="62" t="n"/>
      <c r="Z345" s="47" t="n"/>
      <c r="AA345" s="47" t="n"/>
      <c r="AB345" s="62" t="n"/>
    </row>
    <row r="346" ht="15.75" customHeight="1">
      <c r="A346" s="47" t="n"/>
      <c r="B346" s="48" t="n"/>
      <c r="C346" s="48" t="n"/>
      <c r="D346" s="48" t="n"/>
      <c r="E346" s="48" t="n"/>
      <c r="F346" s="48" t="n"/>
      <c r="G346" s="48" t="n"/>
      <c r="H346" s="48" t="n"/>
      <c r="I346" s="48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48" t="n"/>
      <c r="T346" s="61" t="n"/>
      <c r="U346" s="62" t="n"/>
      <c r="V346" s="62" t="n"/>
      <c r="W346" s="62" t="n"/>
      <c r="X346" s="47" t="n"/>
      <c r="Y346" s="62" t="n"/>
      <c r="Z346" s="47" t="n"/>
      <c r="AA346" s="47" t="n"/>
      <c r="AB346" s="62" t="n"/>
    </row>
    <row r="347" ht="15.75" customHeight="1">
      <c r="A347" s="47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48" t="n"/>
      <c r="T347" s="61" t="n"/>
      <c r="U347" s="62" t="n"/>
      <c r="V347" s="62" t="n"/>
      <c r="W347" s="62" t="n"/>
      <c r="X347" s="47" t="n"/>
      <c r="Y347" s="62" t="n"/>
      <c r="Z347" s="47" t="n"/>
      <c r="AA347" s="47" t="n"/>
      <c r="AB347" s="62" t="n"/>
    </row>
    <row r="348" ht="15.75" customHeight="1">
      <c r="A348" s="47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48" t="n"/>
      <c r="T348" s="61" t="n"/>
      <c r="U348" s="62" t="n"/>
      <c r="V348" s="62" t="n"/>
      <c r="W348" s="62" t="n"/>
      <c r="X348" s="47" t="n"/>
      <c r="Y348" s="62" t="n"/>
      <c r="Z348" s="47" t="n"/>
      <c r="AA348" s="47" t="n"/>
      <c r="AB348" s="62" t="n"/>
    </row>
    <row r="349" ht="15.75" customHeight="1">
      <c r="A349" s="47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48" t="n"/>
      <c r="T349" s="61" t="n"/>
      <c r="U349" s="62" t="n"/>
      <c r="V349" s="62" t="n"/>
      <c r="W349" s="62" t="n"/>
      <c r="X349" s="47" t="n"/>
      <c r="Y349" s="62" t="n"/>
      <c r="Z349" s="47" t="n"/>
      <c r="AA349" s="47" t="n"/>
      <c r="AB349" s="62" t="n"/>
    </row>
    <row r="350" ht="15.75" customHeight="1">
      <c r="A350" s="47" t="n"/>
      <c r="B350" s="48" t="n"/>
      <c r="C350" s="48" t="n"/>
      <c r="D350" s="48" t="n"/>
      <c r="E350" s="48" t="n"/>
      <c r="F350" s="48" t="n"/>
      <c r="G350" s="48" t="n"/>
      <c r="H350" s="48" t="n"/>
      <c r="I350" s="48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48" t="n"/>
      <c r="T350" s="61" t="n"/>
      <c r="U350" s="62" t="n"/>
      <c r="V350" s="62" t="n"/>
      <c r="W350" s="62" t="n"/>
      <c r="X350" s="47" t="n"/>
      <c r="Y350" s="62" t="n"/>
      <c r="Z350" s="47" t="n"/>
      <c r="AA350" s="47" t="n"/>
      <c r="AB350" s="62" t="n"/>
    </row>
    <row r="351" ht="15.75" customHeight="1">
      <c r="A351" s="47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48" t="n"/>
      <c r="T351" s="61" t="n"/>
      <c r="U351" s="62" t="n"/>
      <c r="V351" s="62" t="n"/>
      <c r="W351" s="62" t="n"/>
      <c r="X351" s="47" t="n"/>
      <c r="Y351" s="62" t="n"/>
      <c r="Z351" s="47" t="n"/>
      <c r="AA351" s="47" t="n"/>
      <c r="AB351" s="62" t="n"/>
    </row>
    <row r="352" ht="15.75" customHeight="1">
      <c r="A352" s="47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48" t="n"/>
      <c r="T352" s="61" t="n"/>
      <c r="U352" s="62" t="n"/>
      <c r="V352" s="62" t="n"/>
      <c r="W352" s="62" t="n"/>
      <c r="X352" s="47" t="n"/>
      <c r="Y352" s="62" t="n"/>
      <c r="Z352" s="47" t="n"/>
      <c r="AA352" s="47" t="n"/>
      <c r="AB352" s="62" t="n"/>
    </row>
    <row r="353" ht="15.75" customHeight="1">
      <c r="A353" s="47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48" t="n"/>
      <c r="T353" s="61" t="n"/>
      <c r="U353" s="62" t="n"/>
      <c r="V353" s="62" t="n"/>
      <c r="W353" s="62" t="n"/>
      <c r="X353" s="47" t="n"/>
      <c r="Y353" s="62" t="n"/>
      <c r="Z353" s="47" t="n"/>
      <c r="AA353" s="47" t="n"/>
      <c r="AB353" s="62" t="n"/>
    </row>
    <row r="354" ht="15.75" customHeight="1">
      <c r="A354" s="47" t="n"/>
      <c r="B354" s="48" t="n"/>
      <c r="C354" s="48" t="n"/>
      <c r="D354" s="48" t="n"/>
      <c r="E354" s="48" t="n"/>
      <c r="F354" s="48" t="n"/>
      <c r="G354" s="48" t="n"/>
      <c r="H354" s="48" t="n"/>
      <c r="I354" s="48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48" t="n"/>
      <c r="T354" s="61" t="n"/>
      <c r="U354" s="62" t="n"/>
      <c r="V354" s="62" t="n"/>
      <c r="W354" s="62" t="n"/>
      <c r="X354" s="47" t="n"/>
      <c r="Y354" s="62" t="n"/>
      <c r="Z354" s="47" t="n"/>
      <c r="AA354" s="47" t="n"/>
      <c r="AB354" s="62" t="n"/>
    </row>
    <row r="355" ht="15.75" customHeight="1">
      <c r="A355" s="47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48" t="n"/>
      <c r="T355" s="61" t="n"/>
      <c r="U355" s="62" t="n"/>
      <c r="V355" s="62" t="n"/>
      <c r="W355" s="62" t="n"/>
      <c r="X355" s="47" t="n"/>
      <c r="Y355" s="62" t="n"/>
      <c r="Z355" s="47" t="n"/>
      <c r="AA355" s="47" t="n"/>
      <c r="AB355" s="62" t="n"/>
    </row>
    <row r="356" ht="15.75" customHeight="1">
      <c r="A356" s="47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48" t="n"/>
      <c r="T356" s="61" t="n"/>
      <c r="U356" s="62" t="n"/>
      <c r="V356" s="62" t="n"/>
      <c r="W356" s="62" t="n"/>
      <c r="X356" s="47" t="n"/>
      <c r="Y356" s="62" t="n"/>
      <c r="Z356" s="47" t="n"/>
      <c r="AA356" s="47" t="n"/>
      <c r="AB356" s="62" t="n"/>
    </row>
    <row r="357" ht="15.75" customHeight="1">
      <c r="A357" s="47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48" t="n"/>
      <c r="T357" s="61" t="n"/>
      <c r="U357" s="62" t="n"/>
      <c r="V357" s="62" t="n"/>
      <c r="W357" s="62" t="n"/>
      <c r="X357" s="47" t="n"/>
      <c r="Y357" s="62" t="n"/>
      <c r="Z357" s="47" t="n"/>
      <c r="AA357" s="47" t="n"/>
      <c r="AB357" s="62" t="n"/>
    </row>
    <row r="358" ht="15.75" customHeight="1">
      <c r="A358" s="47" t="n"/>
      <c r="B358" s="48" t="n"/>
      <c r="C358" s="48" t="n"/>
      <c r="D358" s="48" t="n"/>
      <c r="E358" s="48" t="n"/>
      <c r="F358" s="48" t="n"/>
      <c r="G358" s="48" t="n"/>
      <c r="H358" s="48" t="n"/>
      <c r="I358" s="48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48" t="n"/>
      <c r="T358" s="61" t="n"/>
      <c r="U358" s="62" t="n"/>
      <c r="V358" s="62" t="n"/>
      <c r="W358" s="62" t="n"/>
      <c r="X358" s="47" t="n"/>
      <c r="Y358" s="62" t="n"/>
      <c r="Z358" s="47" t="n"/>
      <c r="AA358" s="47" t="n"/>
      <c r="AB358" s="62" t="n"/>
    </row>
    <row r="359" ht="15.75" customHeight="1">
      <c r="A359" s="47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48" t="n"/>
      <c r="T359" s="61" t="n"/>
      <c r="U359" s="62" t="n"/>
      <c r="V359" s="62" t="n"/>
      <c r="W359" s="62" t="n"/>
      <c r="X359" s="47" t="n"/>
      <c r="Y359" s="62" t="n"/>
      <c r="Z359" s="47" t="n"/>
      <c r="AA359" s="47" t="n"/>
      <c r="AB359" s="62" t="n"/>
    </row>
    <row r="360" ht="15.75" customHeight="1">
      <c r="A360" s="47" t="n"/>
      <c r="B360" s="48" t="n"/>
      <c r="C360" s="48" t="n"/>
      <c r="D360" s="48" t="n"/>
      <c r="E360" s="48" t="n"/>
      <c r="F360" s="48" t="n"/>
      <c r="G360" s="48" t="n"/>
      <c r="H360" s="48" t="n"/>
      <c r="I360" s="48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48" t="n"/>
      <c r="T360" s="61" t="n"/>
      <c r="U360" s="62" t="n"/>
      <c r="V360" s="62" t="n"/>
      <c r="W360" s="62" t="n"/>
      <c r="X360" s="47" t="n"/>
      <c r="Y360" s="62" t="n"/>
      <c r="Z360" s="47" t="n"/>
      <c r="AA360" s="47" t="n"/>
      <c r="AB360" s="62" t="n"/>
    </row>
    <row r="361" ht="15.75" customHeight="1">
      <c r="A361" s="47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48" t="n"/>
      <c r="T361" s="61" t="n"/>
      <c r="U361" s="62" t="n"/>
      <c r="V361" s="62" t="n"/>
      <c r="W361" s="62" t="n"/>
      <c r="X361" s="47" t="n"/>
      <c r="Y361" s="62" t="n"/>
      <c r="Z361" s="47" t="n"/>
      <c r="AA361" s="47" t="n"/>
      <c r="AB361" s="62" t="n"/>
    </row>
    <row r="362" ht="15.75" customHeight="1">
      <c r="A362" s="47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48" t="n"/>
      <c r="T362" s="61" t="n"/>
      <c r="U362" s="62" t="n"/>
      <c r="V362" s="62" t="n"/>
      <c r="W362" s="62" t="n"/>
      <c r="X362" s="47" t="n"/>
      <c r="Y362" s="62" t="n"/>
      <c r="Z362" s="47" t="n"/>
      <c r="AA362" s="47" t="n"/>
      <c r="AB362" s="62" t="n"/>
    </row>
    <row r="363" ht="15.75" customHeight="1">
      <c r="A363" s="47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48" t="n"/>
      <c r="T363" s="61" t="n"/>
      <c r="U363" s="62" t="n"/>
      <c r="V363" s="62" t="n"/>
      <c r="W363" s="62" t="n"/>
      <c r="X363" s="47" t="n"/>
      <c r="Y363" s="62" t="n"/>
      <c r="Z363" s="47" t="n"/>
      <c r="AA363" s="47" t="n"/>
      <c r="AB363" s="62" t="n"/>
    </row>
    <row r="364" ht="15.75" customHeight="1">
      <c r="A364" s="47" t="n"/>
      <c r="B364" s="48" t="n"/>
      <c r="C364" s="48" t="n"/>
      <c r="D364" s="48" t="n"/>
      <c r="E364" s="48" t="n"/>
      <c r="F364" s="48" t="n"/>
      <c r="G364" s="48" t="n"/>
      <c r="H364" s="48" t="n"/>
      <c r="I364" s="48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48" t="n"/>
      <c r="T364" s="61" t="n"/>
      <c r="U364" s="62" t="n"/>
      <c r="V364" s="62" t="n"/>
      <c r="W364" s="62" t="n"/>
      <c r="X364" s="47" t="n"/>
      <c r="Y364" s="62" t="n"/>
      <c r="Z364" s="47" t="n"/>
      <c r="AA364" s="47" t="n"/>
      <c r="AB364" s="62" t="n"/>
    </row>
    <row r="365" ht="15.75" customHeight="1">
      <c r="A365" s="47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48" t="n"/>
      <c r="T365" s="61" t="n"/>
      <c r="U365" s="62" t="n"/>
      <c r="V365" s="62" t="n"/>
      <c r="W365" s="62" t="n"/>
      <c r="X365" s="47" t="n"/>
      <c r="Y365" s="62" t="n"/>
      <c r="Z365" s="47" t="n"/>
      <c r="AA365" s="47" t="n"/>
      <c r="AB365" s="62" t="n"/>
    </row>
    <row r="366" ht="15.75" customHeight="1">
      <c r="A366" s="47" t="n"/>
      <c r="B366" s="48" t="n"/>
      <c r="C366" s="48" t="n"/>
      <c r="D366" s="48" t="n"/>
      <c r="E366" s="48" t="n"/>
      <c r="F366" s="48" t="n"/>
      <c r="G366" s="48" t="n"/>
      <c r="H366" s="48" t="n"/>
      <c r="I366" s="48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48" t="n"/>
      <c r="T366" s="61" t="n"/>
      <c r="U366" s="62" t="n"/>
      <c r="V366" s="62" t="n"/>
      <c r="W366" s="62" t="n"/>
      <c r="X366" s="47" t="n"/>
      <c r="Y366" s="62" t="n"/>
      <c r="Z366" s="47" t="n"/>
      <c r="AA366" s="47" t="n"/>
      <c r="AB366" s="62" t="n"/>
    </row>
    <row r="367" ht="15.75" customHeight="1">
      <c r="A367" s="47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48" t="n"/>
      <c r="T367" s="61" t="n"/>
      <c r="U367" s="62" t="n"/>
      <c r="V367" s="62" t="n"/>
      <c r="W367" s="62" t="n"/>
      <c r="X367" s="47" t="n"/>
      <c r="Y367" s="62" t="n"/>
      <c r="Z367" s="47" t="n"/>
      <c r="AA367" s="47" t="n"/>
      <c r="AB367" s="62" t="n"/>
    </row>
    <row r="368" ht="15.75" customHeight="1">
      <c r="A368" s="47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48" t="n"/>
      <c r="T368" s="61" t="n"/>
      <c r="U368" s="62" t="n"/>
      <c r="V368" s="62" t="n"/>
      <c r="W368" s="62" t="n"/>
      <c r="X368" s="47" t="n"/>
      <c r="Y368" s="62" t="n"/>
      <c r="Z368" s="47" t="n"/>
      <c r="AA368" s="47" t="n"/>
      <c r="AB368" s="62" t="n"/>
    </row>
    <row r="369" ht="15.75" customHeight="1">
      <c r="A369" s="47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48" t="n"/>
      <c r="T369" s="61" t="n"/>
      <c r="U369" s="62" t="n"/>
      <c r="V369" s="62" t="n"/>
      <c r="W369" s="62" t="n"/>
      <c r="X369" s="47" t="n"/>
      <c r="Y369" s="62" t="n"/>
      <c r="Z369" s="47" t="n"/>
      <c r="AA369" s="47" t="n"/>
      <c r="AB369" s="62" t="n"/>
    </row>
    <row r="370" ht="15.75" customHeight="1">
      <c r="A370" s="47" t="n"/>
      <c r="B370" s="48" t="n"/>
      <c r="C370" s="48" t="n"/>
      <c r="D370" s="48" t="n"/>
      <c r="E370" s="48" t="n"/>
      <c r="F370" s="48" t="n"/>
      <c r="G370" s="48" t="n"/>
      <c r="H370" s="48" t="n"/>
      <c r="I370" s="48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48" t="n"/>
      <c r="T370" s="61" t="n"/>
      <c r="U370" s="62" t="n"/>
      <c r="V370" s="62" t="n"/>
      <c r="W370" s="62" t="n"/>
      <c r="X370" s="47" t="n"/>
      <c r="Y370" s="62" t="n"/>
      <c r="Z370" s="47" t="n"/>
      <c r="AA370" s="47" t="n"/>
      <c r="AB370" s="62" t="n"/>
    </row>
    <row r="371" ht="15.75" customHeight="1">
      <c r="A371" s="47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48" t="n"/>
      <c r="T371" s="61" t="n"/>
      <c r="U371" s="62" t="n"/>
      <c r="V371" s="62" t="n"/>
      <c r="W371" s="62" t="n"/>
      <c r="X371" s="47" t="n"/>
      <c r="Y371" s="62" t="n"/>
      <c r="Z371" s="47" t="n"/>
      <c r="AA371" s="47" t="n"/>
      <c r="AB371" s="62" t="n"/>
    </row>
    <row r="372" ht="15.75" customHeight="1">
      <c r="A372" s="47" t="n"/>
      <c r="B372" s="48" t="n"/>
      <c r="C372" s="48" t="n"/>
      <c r="D372" s="48" t="n"/>
      <c r="E372" s="48" t="n"/>
      <c r="F372" s="48" t="n"/>
      <c r="G372" s="48" t="n"/>
      <c r="H372" s="48" t="n"/>
      <c r="I372" s="48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48" t="n"/>
      <c r="T372" s="61" t="n"/>
      <c r="U372" s="62" t="n"/>
      <c r="V372" s="62" t="n"/>
      <c r="W372" s="62" t="n"/>
      <c r="X372" s="47" t="n"/>
      <c r="Y372" s="62" t="n"/>
      <c r="Z372" s="47" t="n"/>
      <c r="AA372" s="47" t="n"/>
      <c r="AB372" s="62" t="n"/>
    </row>
    <row r="373" ht="15.75" customHeight="1">
      <c r="A373" s="47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48" t="n"/>
      <c r="T373" s="61" t="n"/>
      <c r="U373" s="62" t="n"/>
      <c r="V373" s="62" t="n"/>
      <c r="W373" s="62" t="n"/>
      <c r="X373" s="47" t="n"/>
      <c r="Y373" s="62" t="n"/>
      <c r="Z373" s="47" t="n"/>
      <c r="AA373" s="47" t="n"/>
      <c r="AB373" s="62" t="n"/>
    </row>
    <row r="374" ht="15.75" customHeight="1">
      <c r="A374" s="47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48" t="n"/>
      <c r="T374" s="61" t="n"/>
      <c r="U374" s="62" t="n"/>
      <c r="V374" s="62" t="n"/>
      <c r="W374" s="62" t="n"/>
      <c r="X374" s="47" t="n"/>
      <c r="Y374" s="62" t="n"/>
      <c r="Z374" s="47" t="n"/>
      <c r="AA374" s="47" t="n"/>
      <c r="AB374" s="62" t="n"/>
    </row>
    <row r="375" ht="15.75" customHeight="1">
      <c r="A375" s="47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48" t="n"/>
      <c r="T375" s="61" t="n"/>
      <c r="U375" s="62" t="n"/>
      <c r="V375" s="62" t="n"/>
      <c r="W375" s="62" t="n"/>
      <c r="X375" s="47" t="n"/>
      <c r="Y375" s="62" t="n"/>
      <c r="Z375" s="47" t="n"/>
      <c r="AA375" s="47" t="n"/>
      <c r="AB375" s="62" t="n"/>
    </row>
    <row r="376" ht="15.75" customHeight="1">
      <c r="A376" s="47" t="n"/>
      <c r="B376" s="48" t="n"/>
      <c r="C376" s="48" t="n"/>
      <c r="D376" s="48" t="n"/>
      <c r="E376" s="48" t="n"/>
      <c r="F376" s="48" t="n"/>
      <c r="G376" s="48" t="n"/>
      <c r="H376" s="48" t="n"/>
      <c r="I376" s="48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48" t="n"/>
      <c r="T376" s="61" t="n"/>
      <c r="U376" s="62" t="n"/>
      <c r="V376" s="62" t="n"/>
      <c r="W376" s="62" t="n"/>
      <c r="X376" s="47" t="n"/>
      <c r="Y376" s="62" t="n"/>
      <c r="Z376" s="47" t="n"/>
      <c r="AA376" s="47" t="n"/>
      <c r="AB376" s="62" t="n"/>
    </row>
    <row r="377" ht="15.75" customHeight="1">
      <c r="A377" s="47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48" t="n"/>
      <c r="T377" s="61" t="n"/>
      <c r="U377" s="62" t="n"/>
      <c r="V377" s="62" t="n"/>
      <c r="W377" s="62" t="n"/>
      <c r="X377" s="47" t="n"/>
      <c r="Y377" s="62" t="n"/>
      <c r="Z377" s="47" t="n"/>
      <c r="AA377" s="47" t="n"/>
      <c r="AB377" s="62" t="n"/>
    </row>
    <row r="378" ht="15.75" customHeight="1">
      <c r="A378" s="47" t="n"/>
      <c r="B378" s="48" t="n"/>
      <c r="C378" s="48" t="n"/>
      <c r="D378" s="48" t="n"/>
      <c r="E378" s="48" t="n"/>
      <c r="F378" s="48" t="n"/>
      <c r="G378" s="48" t="n"/>
      <c r="H378" s="48" t="n"/>
      <c r="I378" s="48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48" t="n"/>
      <c r="T378" s="61" t="n"/>
      <c r="U378" s="62" t="n"/>
      <c r="V378" s="62" t="n"/>
      <c r="W378" s="62" t="n"/>
      <c r="X378" s="47" t="n"/>
      <c r="Y378" s="62" t="n"/>
      <c r="Z378" s="47" t="n"/>
      <c r="AA378" s="47" t="n"/>
      <c r="AB378" s="62" t="n"/>
    </row>
    <row r="379" ht="15.75" customHeight="1">
      <c r="A379" s="47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48" t="n"/>
      <c r="T379" s="61" t="n"/>
      <c r="U379" s="62" t="n"/>
      <c r="V379" s="62" t="n"/>
      <c r="W379" s="62" t="n"/>
      <c r="X379" s="47" t="n"/>
      <c r="Y379" s="62" t="n"/>
      <c r="Z379" s="47" t="n"/>
      <c r="AA379" s="47" t="n"/>
      <c r="AB379" s="62" t="n"/>
    </row>
    <row r="380" ht="15.75" customHeight="1">
      <c r="A380" s="47" t="n"/>
      <c r="B380" s="48" t="n"/>
      <c r="C380" s="48" t="n"/>
      <c r="D380" s="48" t="n"/>
      <c r="E380" s="48" t="n"/>
      <c r="F380" s="48" t="n"/>
      <c r="G380" s="48" t="n"/>
      <c r="H380" s="48" t="n"/>
      <c r="I380" s="48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48" t="n"/>
      <c r="T380" s="61" t="n"/>
      <c r="U380" s="62" t="n"/>
      <c r="V380" s="62" t="n"/>
      <c r="W380" s="62" t="n"/>
      <c r="X380" s="47" t="n"/>
      <c r="Y380" s="62" t="n"/>
      <c r="Z380" s="47" t="n"/>
      <c r="AA380" s="47" t="n"/>
      <c r="AB380" s="62" t="n"/>
    </row>
    <row r="381" ht="15.75" customHeight="1">
      <c r="A381" s="47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48" t="n"/>
      <c r="T381" s="61" t="n"/>
      <c r="U381" s="62" t="n"/>
      <c r="V381" s="62" t="n"/>
      <c r="W381" s="62" t="n"/>
      <c r="X381" s="47" t="n"/>
      <c r="Y381" s="62" t="n"/>
      <c r="Z381" s="47" t="n"/>
      <c r="AA381" s="47" t="n"/>
      <c r="AB381" s="62" t="n"/>
    </row>
    <row r="382" ht="15.75" customHeight="1">
      <c r="A382" s="47" t="n"/>
      <c r="B382" s="48" t="n"/>
      <c r="C382" s="48" t="n"/>
      <c r="D382" s="48" t="n"/>
      <c r="E382" s="48" t="n"/>
      <c r="F382" s="48" t="n"/>
      <c r="G382" s="48" t="n"/>
      <c r="H382" s="48" t="n"/>
      <c r="I382" s="48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48" t="n"/>
      <c r="T382" s="61" t="n"/>
      <c r="U382" s="62" t="n"/>
      <c r="V382" s="62" t="n"/>
      <c r="W382" s="62" t="n"/>
      <c r="X382" s="47" t="n"/>
      <c r="Y382" s="62" t="n"/>
      <c r="Z382" s="47" t="n"/>
      <c r="AA382" s="47" t="n"/>
      <c r="AB382" s="62" t="n"/>
    </row>
    <row r="383" ht="15.75" customHeight="1">
      <c r="A383" s="47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48" t="n"/>
      <c r="T383" s="61" t="n"/>
      <c r="U383" s="62" t="n"/>
      <c r="V383" s="62" t="n"/>
      <c r="W383" s="62" t="n"/>
      <c r="X383" s="47" t="n"/>
      <c r="Y383" s="62" t="n"/>
      <c r="Z383" s="47" t="n"/>
      <c r="AA383" s="47" t="n"/>
      <c r="AB383" s="62" t="n"/>
    </row>
    <row r="384" ht="15.75" customHeight="1">
      <c r="A384" s="47" t="n"/>
      <c r="B384" s="48" t="n"/>
      <c r="C384" s="48" t="n"/>
      <c r="D384" s="48" t="n"/>
      <c r="E384" s="48" t="n"/>
      <c r="F384" s="48" t="n"/>
      <c r="G384" s="48" t="n"/>
      <c r="H384" s="48" t="n"/>
      <c r="I384" s="48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48" t="n"/>
      <c r="T384" s="61" t="n"/>
      <c r="U384" s="62" t="n"/>
      <c r="V384" s="62" t="n"/>
      <c r="W384" s="62" t="n"/>
      <c r="X384" s="47" t="n"/>
      <c r="Y384" s="62" t="n"/>
      <c r="Z384" s="47" t="n"/>
      <c r="AA384" s="47" t="n"/>
      <c r="AB384" s="62" t="n"/>
    </row>
    <row r="385" ht="15.75" customHeight="1">
      <c r="A385" s="47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48" t="n"/>
      <c r="T385" s="61" t="n"/>
      <c r="U385" s="62" t="n"/>
      <c r="V385" s="62" t="n"/>
      <c r="W385" s="62" t="n"/>
      <c r="X385" s="47" t="n"/>
      <c r="Y385" s="62" t="n"/>
      <c r="Z385" s="47" t="n"/>
      <c r="AA385" s="47" t="n"/>
      <c r="AB385" s="62" t="n"/>
    </row>
    <row r="386" ht="15.75" customHeight="1">
      <c r="A386" s="47" t="n"/>
      <c r="B386" s="48" t="n"/>
      <c r="C386" s="48" t="n"/>
      <c r="D386" s="48" t="n"/>
      <c r="E386" s="48" t="n"/>
      <c r="F386" s="48" t="n"/>
      <c r="G386" s="48" t="n"/>
      <c r="H386" s="48" t="n"/>
      <c r="I386" s="48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48" t="n"/>
      <c r="T386" s="61" t="n"/>
      <c r="U386" s="62" t="n"/>
      <c r="V386" s="62" t="n"/>
      <c r="W386" s="62" t="n"/>
      <c r="X386" s="47" t="n"/>
      <c r="Y386" s="62" t="n"/>
      <c r="Z386" s="47" t="n"/>
      <c r="AA386" s="47" t="n"/>
      <c r="AB386" s="62" t="n"/>
    </row>
    <row r="387" ht="15.75" customHeight="1">
      <c r="A387" s="47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48" t="n"/>
      <c r="T387" s="61" t="n"/>
      <c r="U387" s="62" t="n"/>
      <c r="V387" s="62" t="n"/>
      <c r="W387" s="62" t="n"/>
      <c r="X387" s="47" t="n"/>
      <c r="Y387" s="62" t="n"/>
      <c r="Z387" s="47" t="n"/>
      <c r="AA387" s="47" t="n"/>
      <c r="AB387" s="62" t="n"/>
    </row>
    <row r="388" ht="15.75" customHeight="1">
      <c r="A388" s="47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48" t="n"/>
      <c r="T388" s="61" t="n"/>
      <c r="U388" s="62" t="n"/>
      <c r="V388" s="62" t="n"/>
      <c r="W388" s="62" t="n"/>
      <c r="X388" s="47" t="n"/>
      <c r="Y388" s="62" t="n"/>
      <c r="Z388" s="47" t="n"/>
      <c r="AA388" s="47" t="n"/>
      <c r="AB388" s="62" t="n"/>
    </row>
    <row r="389" ht="15.75" customHeight="1">
      <c r="A389" s="47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48" t="n"/>
      <c r="T389" s="61" t="n"/>
      <c r="U389" s="62" t="n"/>
      <c r="V389" s="62" t="n"/>
      <c r="W389" s="62" t="n"/>
      <c r="X389" s="47" t="n"/>
      <c r="Y389" s="62" t="n"/>
      <c r="Z389" s="47" t="n"/>
      <c r="AA389" s="47" t="n"/>
      <c r="AB389" s="62" t="n"/>
    </row>
    <row r="390" ht="15.75" customHeight="1">
      <c r="A390" s="47" t="n"/>
      <c r="B390" s="48" t="n"/>
      <c r="C390" s="48" t="n"/>
      <c r="D390" s="48" t="n"/>
      <c r="E390" s="48" t="n"/>
      <c r="F390" s="48" t="n"/>
      <c r="G390" s="48" t="n"/>
      <c r="H390" s="48" t="n"/>
      <c r="I390" s="48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48" t="n"/>
      <c r="T390" s="61" t="n"/>
      <c r="U390" s="62" t="n"/>
      <c r="V390" s="62" t="n"/>
      <c r="W390" s="62" t="n"/>
      <c r="X390" s="47" t="n"/>
      <c r="Y390" s="62" t="n"/>
      <c r="Z390" s="47" t="n"/>
      <c r="AA390" s="47" t="n"/>
      <c r="AB390" s="62" t="n"/>
    </row>
    <row r="391" ht="15.75" customHeight="1">
      <c r="A391" s="47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48" t="n"/>
      <c r="T391" s="61" t="n"/>
      <c r="U391" s="62" t="n"/>
      <c r="V391" s="62" t="n"/>
      <c r="W391" s="62" t="n"/>
      <c r="X391" s="47" t="n"/>
      <c r="Y391" s="62" t="n"/>
      <c r="Z391" s="47" t="n"/>
      <c r="AA391" s="47" t="n"/>
      <c r="AB391" s="62" t="n"/>
    </row>
    <row r="392" ht="15.75" customHeight="1">
      <c r="A392" s="47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48" t="n"/>
      <c r="T392" s="61" t="n"/>
      <c r="U392" s="62" t="n"/>
      <c r="V392" s="62" t="n"/>
      <c r="W392" s="62" t="n"/>
      <c r="X392" s="47" t="n"/>
      <c r="Y392" s="62" t="n"/>
      <c r="Z392" s="47" t="n"/>
      <c r="AA392" s="47" t="n"/>
      <c r="AB392" s="62" t="n"/>
    </row>
    <row r="393" ht="15.75" customHeight="1">
      <c r="A393" s="47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48" t="n"/>
      <c r="T393" s="61" t="n"/>
      <c r="U393" s="62" t="n"/>
      <c r="V393" s="62" t="n"/>
      <c r="W393" s="62" t="n"/>
      <c r="X393" s="47" t="n"/>
      <c r="Y393" s="62" t="n"/>
      <c r="Z393" s="47" t="n"/>
      <c r="AA393" s="47" t="n"/>
      <c r="AB393" s="62" t="n"/>
    </row>
    <row r="394" ht="15.75" customHeight="1">
      <c r="A394" s="47" t="n"/>
      <c r="B394" s="48" t="n"/>
      <c r="C394" s="48" t="n"/>
      <c r="D394" s="48" t="n"/>
      <c r="E394" s="48" t="n"/>
      <c r="F394" s="48" t="n"/>
      <c r="G394" s="48" t="n"/>
      <c r="H394" s="48" t="n"/>
      <c r="I394" s="48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48" t="n"/>
      <c r="T394" s="61" t="n"/>
      <c r="U394" s="62" t="n"/>
      <c r="V394" s="62" t="n"/>
      <c r="W394" s="62" t="n"/>
      <c r="X394" s="47" t="n"/>
      <c r="Y394" s="62" t="n"/>
      <c r="Z394" s="47" t="n"/>
      <c r="AA394" s="47" t="n"/>
      <c r="AB394" s="62" t="n"/>
    </row>
  </sheetData>
  <autoFilter ref="A2:V2">
    <sortState ref="A2:V2">
      <sortCondition ref="A2"/>
      <sortCondition ref="J2"/>
    </sortState>
  </autoFilter>
  <conditionalFormatting sqref="O2">
    <cfRule type="cellIs" priority="5" operator="equal" dxfId="4">
      <formula>"Ongoing"</formula>
    </cfRule>
  </conditionalFormatting>
  <conditionalFormatting sqref="P1:P3">
    <cfRule type="cellIs" priority="6" operator="equal" dxfId="3">
      <formula>"Profit"</formula>
    </cfRule>
    <cfRule type="cellIs" priority="7" operator="equal" dxfId="2">
      <formula>"Loss"</formula>
    </cfRule>
  </conditionalFormatting>
  <conditionalFormatting sqref="Q1:Q3">
    <cfRule type="cellIs" priority="8" operator="greaterThan" dxfId="1">
      <formula>0</formula>
    </cfRule>
    <cfRule type="cellIs" priority="9" operator="lessThan" dxfId="0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1"/>
  <sheetViews>
    <sheetView workbookViewId="0">
      <selection activeCell="A1" sqref="A1"/>
    </sheetView>
  </sheetViews>
  <sheetFormatPr baseColWidth="10" defaultColWidth="12.6640625" defaultRowHeight="15" customHeight="1"/>
  <cols>
    <col width="15.33203125" customWidth="1" min="1" max="1"/>
    <col width="12.6640625" customWidth="1" min="2" max="6"/>
  </cols>
  <sheetData>
    <row r="1" ht="15" customHeight="1">
      <c r="A1" s="1" t="inlineStr">
        <is>
          <t>Profit</t>
        </is>
      </c>
      <c r="B1" s="3">
        <f>SUMIF('2025'!Q:Q,"&gt;0")</f>
        <v/>
      </c>
      <c r="C1" s="1" t="n"/>
      <c r="D1" s="1" t="inlineStr">
        <is>
          <t>BUY trades</t>
        </is>
      </c>
      <c r="E1" s="3">
        <f>COUNTA('2025'!F:F)</f>
        <v/>
      </c>
    </row>
    <row r="2" ht="15" customHeight="1">
      <c r="A2" s="63" t="inlineStr">
        <is>
          <t>Loss</t>
        </is>
      </c>
      <c r="B2" s="64">
        <f>SUMIF('2025'!Q:Q,"&lt;0")</f>
        <v/>
      </c>
      <c r="C2" s="65" t="n"/>
      <c r="D2" s="1" t="inlineStr">
        <is>
          <t>SELL trades</t>
        </is>
      </c>
      <c r="E2" s="3">
        <f>COUNTA('2025'!G:G)</f>
        <v/>
      </c>
    </row>
    <row r="3" ht="12.75" customHeight="1">
      <c r="A3" s="6" t="inlineStr">
        <is>
          <t>Net Change</t>
        </is>
      </c>
      <c r="B3" s="66">
        <f>B1+B2</f>
        <v/>
      </c>
      <c r="C3" s="1" t="n"/>
      <c r="D3" s="1" t="n"/>
      <c r="E3" s="1" t="n"/>
    </row>
    <row r="4" ht="12.75" customHeight="1">
      <c r="A4" s="6" t="inlineStr">
        <is>
          <t>Profit factor</t>
        </is>
      </c>
      <c r="B4" s="66">
        <f>B1/ABS(B2)</f>
        <v/>
      </c>
      <c r="C4" s="1" t="n"/>
      <c r="D4" s="1" t="n"/>
      <c r="E4" s="1" t="n"/>
    </row>
    <row r="5" ht="12.75" customHeight="1">
      <c r="A5" s="1" t="n"/>
      <c r="B5" s="8" t="n"/>
      <c r="C5" s="1" t="n"/>
      <c r="D5" s="1" t="n"/>
      <c r="E5" s="1" t="n"/>
    </row>
    <row r="6" ht="12.75" customHeight="1">
      <c r="A6" s="6" t="inlineStr">
        <is>
          <t>Profit %</t>
        </is>
      </c>
      <c r="B6" s="9">
        <f>B3/15000</f>
        <v/>
      </c>
      <c r="C6" s="1" t="n"/>
      <c r="D6" s="1" t="n"/>
      <c r="E6" s="1" t="n"/>
    </row>
    <row r="7" ht="12.75" customHeight="1">
      <c r="A7" s="1" t="inlineStr">
        <is>
          <t>Profit % / month</t>
        </is>
      </c>
      <c r="B7" s="10">
        <f>B6/(DATEDIF('2025'!#REF!, TODAY(), "D")/30)</f>
        <v/>
      </c>
      <c r="C7" s="1" t="n"/>
      <c r="D7" s="1" t="n"/>
      <c r="E7" s="1" t="n"/>
    </row>
    <row r="8" ht="12.75" customHeight="1">
      <c r="A8" s="1" t="n"/>
      <c r="B8" s="1" t="n"/>
      <c r="C8" s="1" t="n"/>
      <c r="D8" s="1" t="n"/>
      <c r="E8" s="1" t="n"/>
    </row>
    <row r="9" ht="12.75" customHeight="1">
      <c r="A9" s="1" t="inlineStr">
        <is>
          <t>Completed trades</t>
        </is>
      </c>
      <c r="B9" s="3">
        <f>COUNTIF('2025'!O:O,"Completed")</f>
        <v/>
      </c>
      <c r="C9" s="1" t="n"/>
      <c r="D9" s="1" t="n"/>
      <c r="E9" s="1" t="n"/>
    </row>
    <row r="10" ht="12.75" customHeight="1">
      <c r="A10" s="1" t="inlineStr">
        <is>
          <t>Profit trades</t>
        </is>
      </c>
      <c r="B10" s="3">
        <f>COUNTIF('2025'!P:P,"Profit")</f>
        <v/>
      </c>
      <c r="C10" s="1" t="n"/>
      <c r="D10" s="1" t="n"/>
      <c r="E10" s="1" t="n"/>
    </row>
    <row r="11" ht="12.75" customHeight="1">
      <c r="A11" s="6" t="inlineStr">
        <is>
          <t>Profit trades %</t>
        </is>
      </c>
      <c r="B11" s="9">
        <f>B10/B9</f>
        <v/>
      </c>
      <c r="C11" s="1" t="n"/>
      <c r="D11" s="1" t="n"/>
      <c r="E11" s="1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2025-01-18T09:56:35Z</dcterms:created>
  <dcterms:modified xmlns:dcterms="http://purl.org/dc/terms/" xmlns:xsi="http://www.w3.org/2001/XMLSchema-instance" xsi:type="dcterms:W3CDTF">2025-01-18T16:39:15Z</dcterms:modified>
  <cp:lastModifiedBy>Kin Ching Chan</cp:lastModifiedBy>
</cp:coreProperties>
</file>